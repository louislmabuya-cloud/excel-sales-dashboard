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708f456ef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bb287a560e3141c1"/>
    <x:sheet xmlns:r="http://schemas.openxmlformats.org/officeDocument/2006/relationships" name="Analysis" sheetId="2" r:id="R4818b5bef5e24745"/>
    <x:sheet xmlns:r="http://schemas.openxmlformats.org/officeDocument/2006/relationships" name="Dashboard" sheetId="3" r:id="R44888be81e9f42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 #,##0"/>
    <x:numFmt numFmtId="201" formatCode="0%"/>
    <x:numFmt numFmtId="202" formatCode="0.0%"/>
    <x:numFmt numFmtId="203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22"/>
      <x:color rgb="FFFFFFFF"/>
      <x:name val="Carlito"/>
    </x:font>
    <x:font>
      <x:b/>
      <x:sz val="17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3F8"/>
      </x:patternFill>
    </x:fill>
  </x:fills>
  <x:borders count="24">
    <x:border/>
    <x:border/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2" fontId="0" fillId="0" borderId="1" xfId="0" applyNumberFormat="1" applyFont="1" applyFill="1" applyBorder="1"/>
    <x:xf numFmtId="202" fontId="0" fillId="0" borderId="16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/>
    <x:xf numFmtId="200" fontId="0" fillId="0" borderId="14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203" fontId="0" fillId="0" borderId="14" xfId="0" applyNumberFormat="1" applyFont="1" applyFill="1" applyBorder="1"/>
    <x:xf numFmtId="203" fontId="0" fillId="0" borderId="17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14" xfId="0" applyNumberFormat="1" applyFont="1" applyFill="1" applyBorder="1"/>
    <x:xf numFmtId="202" fontId="0" fillId="0" borderId="17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8" xfId="0" applyNumberFormat="1" applyFont="1" applyFill="1" applyBorder="1" applyAlignment="1">
      <x:alignment horizontal="center" vertical="center" wrapText="1"/>
    </x:xf>
    <x:xf numFmtId="0" fontId="1" fillId="3" borderId="19" xfId="0" applyNumberFormat="1" applyFont="1" applyFill="1" applyBorder="1" applyAlignment="1">
      <x:alignment horizontal="center" vertical="center" wrapText="1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1" fillId="3" borderId="21" xfId="0" applyNumberFormat="1" applyFont="1" applyFill="1" applyBorder="1" applyAlignment="1">
      <x:alignment horizontal="center" vertical="center" wrapText="1"/>
    </x:xf>
    <x:xf numFmtId="0" fontId="1" fillId="3" borderId="22" xfId="0" applyNumberFormat="1" applyFont="1" applyFill="1" applyBorder="1" applyAlignment="1">
      <x:alignment horizontal="center" vertical="center" wrapText="1"/>
    </x:xf>
    <x:xf numFmtId="0" fontId="1" fillId="3" borderId="2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horizontal="center"/>
    </x:xf>
    <x:xf numFmtId="0" fontId="4" fillId="4" borderId="9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5" xfId="0" applyNumberFormat="1" applyFont="1" applyFill="1" applyBorder="1"/>
    <x:xf numFmtId="0" fontId="4" fillId="4" borderId="16" xfId="0" applyNumberFormat="1" applyFont="1" applyFill="1" applyBorder="1"/>
    <x:xf numFmtId="0" fontId="4" fillId="4" borderId="17" xfId="0" applyNumberFormat="1" applyFont="1" applyFill="1" applyBorder="1"/>
    <x:xf numFmtId="0" fontId="4" fillId="4" borderId="10" xfId="0" applyNumberFormat="1" applyFont="1" applyFill="1" applyBorder="1" applyAlignment="1">
      <x:alignment horizontal="center"/>
    </x:xf>
    <x:xf numFmtId="0" fontId="4" fillId="4" borderId="11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/>
    </x:xf>
    <x:xf numFmtId="0" fontId="4" fillId="4" borderId="15" xfId="0" applyNumberFormat="1" applyFont="1" applyFill="1" applyBorder="1" applyAlignment="1">
      <x:alignment horizontal="center"/>
    </x:xf>
    <x:xf numFmtId="0" fontId="4" fillId="4" borderId="16" xfId="0" applyNumberFormat="1" applyFont="1" applyFill="1" applyBorder="1" applyAlignment="1">
      <x:alignment horizontal="center"/>
    </x:xf>
    <x:xf numFmtId="0" fontId="4" fillId="4" borderId="17" xfId="0" applyNumberFormat="1" applyFont="1" applyFill="1" applyBorder="1" applyAlignment="1">
      <x:alignment horizontal="center"/>
    </x:xf>
    <x:xf numFmtId="0" fontId="4" fillId="4" borderId="10" xfId="0" applyNumberFormat="1" applyFont="1" applyFill="1" applyBorder="1" applyAlignment="1">
      <x:alignment horizontal="center" vertical="center"/>
    </x:xf>
    <x:xf numFmtId="0" fontId="4" fillId="4" borderId="11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 applyAlignment="1">
      <x:alignment horizontal="center" vertical="center"/>
    </x:xf>
    <x:xf numFmtId="0" fontId="4" fillId="4" borderId="15" xfId="0" applyNumberFormat="1" applyFont="1" applyFill="1" applyBorder="1" applyAlignment="1">
      <x:alignment horizontal="center" vertical="center"/>
    </x:xf>
    <x:xf numFmtId="0" fontId="4" fillId="4" borderId="16" xfId="0" applyNumberFormat="1" applyFont="1" applyFill="1" applyBorder="1" applyAlignment="1">
      <x:alignment horizontal="center" vertical="center"/>
    </x:xf>
    <x:xf numFmtId="0" fontId="4" fillId="4" borderId="1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3d55ba91ea45a2" /><Relationship Type="http://schemas.openxmlformats.org/officeDocument/2006/relationships/theme" Target="/xl/theme/theme1.xml" Id="R0e0bfa046483408b" /><Relationship Type="http://schemas.openxmlformats.org/officeDocument/2006/relationships/sharedStrings" Target="/xl/sharedStrings.xml" Id="Rd222b86639e940ae" /><Relationship Type="http://schemas.openxmlformats.org/officeDocument/2006/relationships/worksheet" Target="/xl/worksheets/sheet1.xml" Id="Rbb287a560e3141c1" /><Relationship Type="http://schemas.openxmlformats.org/officeDocument/2006/relationships/worksheet" Target="/xl/worksheets/sheet2.xml" Id="R4818b5bef5e24745" /><Relationship Type="http://schemas.openxmlformats.org/officeDocument/2006/relationships/worksheet" Target="/xl/worksheets/sheet3.xml" Id="R44888be81e9f42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91346fcebe4a4f" /><Relationship Type="http://schemas.openxmlformats.org/officeDocument/2006/relationships/chart" Target="/xl/drawings/charts/chart2.xml" Id="R8be95dd986764c7f" /><Relationship Type="http://schemas.openxmlformats.org/officeDocument/2006/relationships/chart" Target="/xl/drawings/charts/chart3.xml" Id="Ree338cccb54f4efc" /><Relationship Type="http://schemas.openxmlformats.org/officeDocument/2006/relationships/chart" Target="/xl/drawings/charts/chart4.xml" Id="R20ee86e61a6f4e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vs Cost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'Analysis'!$A$12:$A$19</c:f>
              <c:strCache>
                <c:ptCount val="0"/>
              </c:strCache>
            </c:strRef>
          </c:cat>
          <c:val>
            <c:numRef>
              <c:f>'Analysis'!$B$12:$B$19</c:f>
              <c:numCache>
                <c:formatCode>R 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Total Cost</c:v>
          </c:tx>
          <c:cat>
            <c:strRef>
              <c:f>'Analysis'!$A$12:$A$19</c:f>
              <c:strCache>
                <c:ptCount val="0"/>
              </c:strCache>
            </c:strRef>
          </c:cat>
          <c:val>
            <c:numRef>
              <c:f>'Analysis'!$C$12:$C$19</c:f>
              <c:numCache>
                <c:formatCode>R 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 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'Analysis'!$G$5:$G$8</c:f>
              <c:strCache>
                <c:ptCount val="0"/>
              </c:strCache>
            </c:strRef>
          </c:cat>
          <c:val>
            <c:numRef>
              <c:f>'Analysis'!$H$5:$H$8</c:f>
              <c:numCache>
                <c:formatCode>R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'Analysis'!$G$12:$G$14</c:f>
              <c:strCache>
                <c:ptCount val="0"/>
              </c:strCache>
            </c:strRef>
          </c:cat>
          <c:val>
            <c:numRef>
              <c:f>'Analysis'!$H$12:$H$14</c:f>
              <c:numCache>
                <c:formatCode>R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Order Category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Revenue</c:v>
          </c:tx>
          <c:cat>
            <c:strRef>
              <c:f>'Analysis'!$G$17:$G$18</c:f>
              <c:strCache>
                <c:ptCount val="0"/>
              </c:strCache>
            </c:strRef>
          </c:cat>
          <c:val>
            <c:numRef>
              <c:f>'Analysis'!$H$17:$H$18</c:f>
              <c:numCache>
                <c:formatCode>R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91346fcebe4a4f"/>
        </a:graphicData>
      </a:graphic>
    </xdr:graphicFrame>
    <xdr:clientData/>
  </xdr:twoCellAnchor>
  <xdr:twoCellAnchor>
    <xdr:from>
      <xdr:col>6</xdr:col>
      <xdr:colOff>0</xdr:colOff>
      <xdr:row>6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e95dd986764c7f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338cccb54f4efc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ee86e61a6f4e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" displayName="SalesData" ref="A1:P41" headerRowCount="1">
  <x:tableColumns count="16">
    <x:tableColumn id="1" name="Order ID"/>
    <x:tableColumn id="2" name="Month"/>
    <x:tableColumn id="3" name="Region"/>
    <x:tableColumn id="4" name="Segment"/>
    <x:tableColumn id="5" name="Product"/>
    <x:tableColumn id="6" name="Quantity"/>
    <x:tableColumn id="7" name="Unit Price"/>
    <x:tableColumn id="8" name="Revenue"/>
    <x:tableColumn id="9" name="Cost Rate"/>
    <x:tableColumn id="10" name="Base Cost"/>
    <x:tableColumn id="11" name="Shipping Rate"/>
    <x:tableColumn id="12" name="Shipping Cost"/>
    <x:tableColumn id="13" name="Total Cost"/>
    <x:tableColumn id="14" name="Profit"/>
    <x:tableColumn id="15" name="Profit Margin"/>
    <x:tableColumn id="16" name="Order Categ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479fd47a4541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275a5ba776e4c9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13" hidden="0" customWidth="1"/>
    <x:col min="4" max="4" width="13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</x:cols>
  <x:sheetData>
    <x:row r="1">
      <x:c r="A1" s="12" t="str">
        <x:v>Order ID</x:v>
      </x:c>
      <x:c r="B1" s="13" t="str">
        <x:v>Month</x:v>
      </x:c>
      <x:c r="C1" s="13" t="str">
        <x:v>Region</x:v>
      </x:c>
      <x:c r="D1" s="13" t="str">
        <x:v>Segment</x:v>
      </x:c>
      <x:c r="E1" s="13" t="str">
        <x:v>Product</x:v>
      </x:c>
      <x:c r="F1" s="13" t="str">
        <x:v>Quantity</x:v>
      </x:c>
      <x:c r="G1" s="13" t="str">
        <x:v>Unit Price</x:v>
      </x:c>
      <x:c r="H1" s="13" t="str">
        <x:v>Revenue</x:v>
      </x:c>
      <x:c r="I1" s="13" t="str">
        <x:v>Cost Rate</x:v>
      </x:c>
      <x:c r="J1" s="13" t="str">
        <x:v>Base Cost</x:v>
      </x:c>
      <x:c r="K1" s="13" t="str">
        <x:v>Shipping Rate</x:v>
      </x:c>
      <x:c r="L1" s="13" t="str">
        <x:v>Shipping Cost</x:v>
      </x:c>
      <x:c r="M1" s="13" t="str">
        <x:v>Total Cost</x:v>
      </x:c>
      <x:c r="N1" s="13" t="str">
        <x:v>Profit</x:v>
      </x:c>
      <x:c r="O1" s="13" t="str">
        <x:v>Profit Margin</x:v>
      </x:c>
      <x:c r="P1" s="14" t="str">
        <x:v>Order Category</x:v>
      </x:c>
    </x:row>
    <x:row r="2">
      <x:c r="A2" s="15" t="n">
        <x:v>5001</x:v>
      </x:c>
      <x:c r="B2" s="16" t="str">
        <x:v>Jan</x:v>
      </x:c>
      <x:c r="C2" s="16" t="str">
        <x:v>North</x:v>
      </x:c>
      <x:c r="D2" s="16" t="str">
        <x:v>Corporate</x:v>
      </x:c>
      <x:c r="E2" s="16" t="str">
        <x:v>Laptops</x:v>
      </x:c>
      <x:c r="F2" s="16" t="n">
        <x:v>15</x:v>
      </x:c>
      <x:c r="G2" s="29" t="n">
        <x:f>IF(E2="Laptops",10000,IF(E2="Phones",2000,1500))</x:f>
        <x:v>10000</x:v>
      </x:c>
      <x:c r="H2" s="29" t="n">
        <x:f>F2*G2</x:f>
        <x:v>150000</x:v>
      </x:c>
      <x:c r="I2" s="33" t="n">
        <x:f>IF(E2="Laptops",70%,IF(E2="Phones",65%,60%))</x:f>
        <x:v>0.7</x:v>
      </x:c>
      <x:c r="J2" s="29" t="n">
        <x:f>H2*I2</x:f>
        <x:v>105000</x:v>
      </x:c>
      <x:c r="K2" s="33" t="n">
        <x:f>IF(OR(C2="East",C2="West"),5%,2%)</x:f>
        <x:v>0.02</x:v>
      </x:c>
      <x:c r="L2" s="29" t="n">
        <x:f>J2*K2</x:f>
        <x:v>2100</x:v>
      </x:c>
      <x:c r="M2" s="29" t="n">
        <x:f>J2+L2</x:f>
        <x:v>107100</x:v>
      </x:c>
      <x:c r="N2" s="29" t="n">
        <x:f>H2-M2</x:f>
        <x:v>42900</x:v>
      </x:c>
      <x:c r="O2" s="37" t="n">
        <x:f>IFERROR(N2/H2,0)</x:f>
        <x:v>0.286</x:v>
      </x:c>
      <x:c r="P2" s="17" t="str">
        <x:f>IF(F2&gt;20,"Bulk","Standard")</x:f>
        <x:v>Standard</x:v>
      </x:c>
    </x:row>
    <x:row r="3">
      <x:c r="A3" s="15" t="n">
        <x:v>5002</x:v>
      </x:c>
      <x:c r="B3" s="16" t="str">
        <x:v>Jan</x:v>
      </x:c>
      <x:c r="C3" s="16" t="str">
        <x:v>South</x:v>
      </x:c>
      <x:c r="D3" s="16" t="str">
        <x:v>Retail</x:v>
      </x:c>
      <x:c r="E3" s="16" t="str">
        <x:v>Phones</x:v>
      </x:c>
      <x:c r="F3" s="16" t="n">
        <x:v>40</x:v>
      </x:c>
      <x:c r="G3" s="29" t="n">
        <x:f>IF(E3="Laptops",10000,IF(E3="Phones",2000,1500))</x:f>
        <x:v>2000</x:v>
      </x:c>
      <x:c r="H3" s="29" t="n">
        <x:f>F3*G3</x:f>
        <x:v>80000</x:v>
      </x:c>
      <x:c r="I3" s="33" t="n">
        <x:f>IF(E3="Laptops",70%,IF(E3="Phones",65%,60%))</x:f>
        <x:v>0.65</x:v>
      </x:c>
      <x:c r="J3" s="29" t="n">
        <x:f>H3*I3</x:f>
        <x:v>52000</x:v>
      </x:c>
      <x:c r="K3" s="33" t="n">
        <x:f>IF(OR(C3="East",C3="West"),5%,2%)</x:f>
        <x:v>0.02</x:v>
      </x:c>
      <x:c r="L3" s="29" t="n">
        <x:f>J3*K3</x:f>
        <x:v>1040</x:v>
      </x:c>
      <x:c r="M3" s="29" t="n">
        <x:f>J3+L3</x:f>
        <x:v>53040</x:v>
      </x:c>
      <x:c r="N3" s="29" t="n">
        <x:f>H3-M3</x:f>
        <x:v>26960</x:v>
      </x:c>
      <x:c r="O3" s="37" t="n">
        <x:f>IFERROR(N3/H3,0)</x:f>
        <x:v>0.337</x:v>
      </x:c>
      <x:c r="P3" s="17" t="str">
        <x:f>IF(F3&gt;20,"Bulk","Standard")</x:f>
        <x:v>Bulk</x:v>
      </x:c>
    </x:row>
    <x:row r="4">
      <x:c r="A4" s="15" t="n">
        <x:v>5003</x:v>
      </x:c>
      <x:c r="B4" s="16" t="str">
        <x:v>Jan</x:v>
      </x:c>
      <x:c r="C4" s="16" t="str">
        <x:v>East</x:v>
      </x:c>
      <x:c r="D4" s="16" t="str">
        <x:v>Corporate</x:v>
      </x:c>
      <x:c r="E4" s="16" t="str">
        <x:v>Tablets</x:v>
      </x:c>
      <x:c r="F4" s="16" t="n">
        <x:v>25</x:v>
      </x:c>
      <x:c r="G4" s="29" t="n">
        <x:f>IF(E4="Laptops",10000,IF(E4="Phones",2000,1500))</x:f>
        <x:v>1500</x:v>
      </x:c>
      <x:c r="H4" s="29" t="n">
        <x:f>F4*G4</x:f>
        <x:v>37500</x:v>
      </x:c>
      <x:c r="I4" s="33" t="n">
        <x:f>IF(E4="Laptops",70%,IF(E4="Phones",65%,60%))</x:f>
        <x:v>0.6</x:v>
      </x:c>
      <x:c r="J4" s="29" t="n">
        <x:f>H4*I4</x:f>
        <x:v>22500</x:v>
      </x:c>
      <x:c r="K4" s="33" t="n">
        <x:f>IF(OR(C4="East",C4="West"),5%,2%)</x:f>
        <x:v>0.05</x:v>
      </x:c>
      <x:c r="L4" s="29" t="n">
        <x:f>J4*K4</x:f>
        <x:v>1125</x:v>
      </x:c>
      <x:c r="M4" s="29" t="n">
        <x:f>J4+L4</x:f>
        <x:v>23625</x:v>
      </x:c>
      <x:c r="N4" s="29" t="n">
        <x:f>H4-M4</x:f>
        <x:v>13875</x:v>
      </x:c>
      <x:c r="O4" s="37" t="n">
        <x:f>IFERROR(N4/H4,0)</x:f>
        <x:v>0.37</x:v>
      </x:c>
      <x:c r="P4" s="17" t="str">
        <x:f>IF(F4&gt;20,"Bulk","Standard")</x:f>
        <x:v>Bulk</x:v>
      </x:c>
    </x:row>
    <x:row r="5">
      <x:c r="A5" s="15" t="n">
        <x:v>5004</x:v>
      </x:c>
      <x:c r="B5" s="16" t="str">
        <x:v>Jan</x:v>
      </x:c>
      <x:c r="C5" s="16" t="str">
        <x:v>West</x:v>
      </x:c>
      <x:c r="D5" s="16" t="str">
        <x:v>Retail</x:v>
      </x:c>
      <x:c r="E5" s="16" t="str">
        <x:v>Laptops</x:v>
      </x:c>
      <x:c r="F5" s="16" t="n">
        <x:v>8</x:v>
      </x:c>
      <x:c r="G5" s="29" t="n">
        <x:f>IF(E5="Laptops",10000,IF(E5="Phones",2000,1500))</x:f>
        <x:v>10000</x:v>
      </x:c>
      <x:c r="H5" s="29" t="n">
        <x:f>F5*G5</x:f>
        <x:v>80000</x:v>
      </x:c>
      <x:c r="I5" s="33" t="n">
        <x:f>IF(E5="Laptops",70%,IF(E5="Phones",65%,60%))</x:f>
        <x:v>0.7</x:v>
      </x:c>
      <x:c r="J5" s="29" t="n">
        <x:f>H5*I5</x:f>
        <x:v>56000</x:v>
      </x:c>
      <x:c r="K5" s="33" t="n">
        <x:f>IF(OR(C5="East",C5="West"),5%,2%)</x:f>
        <x:v>0.05</x:v>
      </x:c>
      <x:c r="L5" s="29" t="n">
        <x:f>J5*K5</x:f>
        <x:v>2800</x:v>
      </x:c>
      <x:c r="M5" s="29" t="n">
        <x:f>J5+L5</x:f>
        <x:v>58800</x:v>
      </x:c>
      <x:c r="N5" s="29" t="n">
        <x:f>H5-M5</x:f>
        <x:v>21200</x:v>
      </x:c>
      <x:c r="O5" s="37" t="n">
        <x:f>IFERROR(N5/H5,0)</x:f>
        <x:v>0.265</x:v>
      </x:c>
      <x:c r="P5" s="17" t="str">
        <x:f>IF(F5&gt;20,"Bulk","Standard")</x:f>
        <x:v>Standard</x:v>
      </x:c>
    </x:row>
    <x:row r="6">
      <x:c r="A6" s="15" t="n">
        <x:v>5005</x:v>
      </x:c>
      <x:c r="B6" s="16" t="str">
        <x:v>Jan</x:v>
      </x:c>
      <x:c r="C6" s="16" t="str">
        <x:v>North</x:v>
      </x:c>
      <x:c r="D6" s="16" t="str">
        <x:v>Corporate</x:v>
      </x:c>
      <x:c r="E6" s="16" t="str">
        <x:v>Phones</x:v>
      </x:c>
      <x:c r="F6" s="16" t="n">
        <x:v>30</x:v>
      </x:c>
      <x:c r="G6" s="29" t="n">
        <x:f>IF(E6="Laptops",10000,IF(E6="Phones",2000,1500))</x:f>
        <x:v>2000</x:v>
      </x:c>
      <x:c r="H6" s="29" t="n">
        <x:f>F6*G6</x:f>
        <x:v>60000</x:v>
      </x:c>
      <x:c r="I6" s="33" t="n">
        <x:f>IF(E6="Laptops",70%,IF(E6="Phones",65%,60%))</x:f>
        <x:v>0.65</x:v>
      </x:c>
      <x:c r="J6" s="29" t="n">
        <x:f>H6*I6</x:f>
        <x:v>39000</x:v>
      </x:c>
      <x:c r="K6" s="33" t="n">
        <x:f>IF(OR(C6="East",C6="West"),5%,2%)</x:f>
        <x:v>0.02</x:v>
      </x:c>
      <x:c r="L6" s="29" t="n">
        <x:f>J6*K6</x:f>
        <x:v>780</x:v>
      </x:c>
      <x:c r="M6" s="29" t="n">
        <x:f>J6+L6</x:f>
        <x:v>39780</x:v>
      </x:c>
      <x:c r="N6" s="29" t="n">
        <x:f>H6-M6</x:f>
        <x:v>20220</x:v>
      </x:c>
      <x:c r="O6" s="37" t="n">
        <x:f>IFERROR(N6/H6,0)</x:f>
        <x:v>0.337</x:v>
      </x:c>
      <x:c r="P6" s="17" t="str">
        <x:f>IF(F6&gt;20,"Bulk","Standard")</x:f>
        <x:v>Bulk</x:v>
      </x:c>
    </x:row>
    <x:row r="7">
      <x:c r="A7" s="15" t="n">
        <x:v>5006</x:v>
      </x:c>
      <x:c r="B7" s="16" t="str">
        <x:v>Feb</x:v>
      </x:c>
      <x:c r="C7" s="16" t="str">
        <x:v>South</x:v>
      </x:c>
      <x:c r="D7" s="16" t="str">
        <x:v>Retail</x:v>
      </x:c>
      <x:c r="E7" s="16" t="str">
        <x:v>Laptops</x:v>
      </x:c>
      <x:c r="F7" s="16" t="n">
        <x:v>12</x:v>
      </x:c>
      <x:c r="G7" s="29" t="n">
        <x:f>IF(E7="Laptops",10000,IF(E7="Phones",2000,1500))</x:f>
        <x:v>10000</x:v>
      </x:c>
      <x:c r="H7" s="29" t="n">
        <x:f>F7*G7</x:f>
        <x:v>120000</x:v>
      </x:c>
      <x:c r="I7" s="33" t="n">
        <x:f>IF(E7="Laptops",70%,IF(E7="Phones",65%,60%))</x:f>
        <x:v>0.7</x:v>
      </x:c>
      <x:c r="J7" s="29" t="n">
        <x:f>H7*I7</x:f>
        <x:v>84000</x:v>
      </x:c>
      <x:c r="K7" s="33" t="n">
        <x:f>IF(OR(C7="East",C7="West"),5%,2%)</x:f>
        <x:v>0.02</x:v>
      </x:c>
      <x:c r="L7" s="29" t="n">
        <x:f>J7*K7</x:f>
        <x:v>1680</x:v>
      </x:c>
      <x:c r="M7" s="29" t="n">
        <x:f>J7+L7</x:f>
        <x:v>85680</x:v>
      </x:c>
      <x:c r="N7" s="29" t="n">
        <x:f>H7-M7</x:f>
        <x:v>34320</x:v>
      </x:c>
      <x:c r="O7" s="37" t="n">
        <x:f>IFERROR(N7/H7,0)</x:f>
        <x:v>0.286</x:v>
      </x:c>
      <x:c r="P7" s="17" t="str">
        <x:f>IF(F7&gt;20,"Bulk","Standard")</x:f>
        <x:v>Standard</x:v>
      </x:c>
    </x:row>
    <x:row r="8">
      <x:c r="A8" s="15" t="n">
        <x:v>5007</x:v>
      </x:c>
      <x:c r="B8" s="16" t="str">
        <x:v>Feb</x:v>
      </x:c>
      <x:c r="C8" s="16" t="str">
        <x:v>East</x:v>
      </x:c>
      <x:c r="D8" s="16" t="str">
        <x:v>Corporate</x:v>
      </x:c>
      <x:c r="E8" s="16" t="str">
        <x:v>Phones</x:v>
      </x:c>
      <x:c r="F8" s="16" t="n">
        <x:v>55</x:v>
      </x:c>
      <x:c r="G8" s="29" t="n">
        <x:f>IF(E8="Laptops",10000,IF(E8="Phones",2000,1500))</x:f>
        <x:v>2000</x:v>
      </x:c>
      <x:c r="H8" s="29" t="n">
        <x:f>F8*G8</x:f>
        <x:v>110000</x:v>
      </x:c>
      <x:c r="I8" s="33" t="n">
        <x:f>IF(E8="Laptops",70%,IF(E8="Phones",65%,60%))</x:f>
        <x:v>0.65</x:v>
      </x:c>
      <x:c r="J8" s="29" t="n">
        <x:f>H8*I8</x:f>
        <x:v>71500</x:v>
      </x:c>
      <x:c r="K8" s="33" t="n">
        <x:f>IF(OR(C8="East",C8="West"),5%,2%)</x:f>
        <x:v>0.05</x:v>
      </x:c>
      <x:c r="L8" s="29" t="n">
        <x:f>J8*K8</x:f>
        <x:v>3575</x:v>
      </x:c>
      <x:c r="M8" s="29" t="n">
        <x:f>J8+L8</x:f>
        <x:v>75075</x:v>
      </x:c>
      <x:c r="N8" s="29" t="n">
        <x:f>H8-M8</x:f>
        <x:v>34925</x:v>
      </x:c>
      <x:c r="O8" s="37" t="n">
        <x:f>IFERROR(N8/H8,0)</x:f>
        <x:v>0.3175</x:v>
      </x:c>
      <x:c r="P8" s="17" t="str">
        <x:f>IF(F8&gt;20,"Bulk","Standard")</x:f>
        <x:v>Bulk</x:v>
      </x:c>
    </x:row>
    <x:row r="9">
      <x:c r="A9" s="15" t="n">
        <x:v>5008</x:v>
      </x:c>
      <x:c r="B9" s="16" t="str">
        <x:v>Feb</x:v>
      </x:c>
      <x:c r="C9" s="16" t="str">
        <x:v>West</x:v>
      </x:c>
      <x:c r="D9" s="16" t="str">
        <x:v>Retail</x:v>
      </x:c>
      <x:c r="E9" s="16" t="str">
        <x:v>Tablets</x:v>
      </x:c>
      <x:c r="F9" s="16" t="n">
        <x:v>20</x:v>
      </x:c>
      <x:c r="G9" s="29" t="n">
        <x:f>IF(E9="Laptops",10000,IF(E9="Phones",2000,1500))</x:f>
        <x:v>1500</x:v>
      </x:c>
      <x:c r="H9" s="29" t="n">
        <x:f>F9*G9</x:f>
        <x:v>30000</x:v>
      </x:c>
      <x:c r="I9" s="33" t="n">
        <x:f>IF(E9="Laptops",70%,IF(E9="Phones",65%,60%))</x:f>
        <x:v>0.6</x:v>
      </x:c>
      <x:c r="J9" s="29" t="n">
        <x:f>H9*I9</x:f>
        <x:v>18000</x:v>
      </x:c>
      <x:c r="K9" s="33" t="n">
        <x:f>IF(OR(C9="East",C9="West"),5%,2%)</x:f>
        <x:v>0.05</x:v>
      </x:c>
      <x:c r="L9" s="29" t="n">
        <x:f>J9*K9</x:f>
        <x:v>900</x:v>
      </x:c>
      <x:c r="M9" s="29" t="n">
        <x:f>J9+L9</x:f>
        <x:v>18900</x:v>
      </x:c>
      <x:c r="N9" s="29" t="n">
        <x:f>H9-M9</x:f>
        <x:v>11100</x:v>
      </x:c>
      <x:c r="O9" s="37" t="n">
        <x:f>IFERROR(N9/H9,0)</x:f>
        <x:v>0.37</x:v>
      </x:c>
      <x:c r="P9" s="17" t="str">
        <x:f>IF(F9&gt;20,"Bulk","Standard")</x:f>
        <x:v>Standard</x:v>
      </x:c>
    </x:row>
    <x:row r="10">
      <x:c r="A10" s="15" t="n">
        <x:v>5009</x:v>
      </x:c>
      <x:c r="B10" s="16" t="str">
        <x:v>Feb</x:v>
      </x:c>
      <x:c r="C10" s="16" t="str">
        <x:v>North</x:v>
      </x:c>
      <x:c r="D10" s="16" t="str">
        <x:v>Retail</x:v>
      </x:c>
      <x:c r="E10" s="16" t="str">
        <x:v>Laptops</x:v>
      </x:c>
      <x:c r="F10" s="16" t="n">
        <x:v>10</x:v>
      </x:c>
      <x:c r="G10" s="29" t="n">
        <x:f>IF(E10="Laptops",10000,IF(E10="Phones",2000,1500))</x:f>
        <x:v>10000</x:v>
      </x:c>
      <x:c r="H10" s="29" t="n">
        <x:f>F10*G10</x:f>
        <x:v>100000</x:v>
      </x:c>
      <x:c r="I10" s="33" t="n">
        <x:f>IF(E10="Laptops",70%,IF(E10="Phones",65%,60%))</x:f>
        <x:v>0.7</x:v>
      </x:c>
      <x:c r="J10" s="29" t="n">
        <x:f>H10*I10</x:f>
        <x:v>70000</x:v>
      </x:c>
      <x:c r="K10" s="33" t="n">
        <x:f>IF(OR(C10="East",C10="West"),5%,2%)</x:f>
        <x:v>0.02</x:v>
      </x:c>
      <x:c r="L10" s="29" t="n">
        <x:f>J10*K10</x:f>
        <x:v>1400</x:v>
      </x:c>
      <x:c r="M10" s="29" t="n">
        <x:f>J10+L10</x:f>
        <x:v>71400</x:v>
      </x:c>
      <x:c r="N10" s="29" t="n">
        <x:f>H10-M10</x:f>
        <x:v>28600</x:v>
      </x:c>
      <x:c r="O10" s="37" t="n">
        <x:f>IFERROR(N10/H10,0)</x:f>
        <x:v>0.286</x:v>
      </x:c>
      <x:c r="P10" s="17" t="str">
        <x:f>IF(F10&gt;20,"Bulk","Standard")</x:f>
        <x:v>Standard</x:v>
      </x:c>
    </x:row>
    <x:row r="11">
      <x:c r="A11" s="15" t="n">
        <x:v>5010</x:v>
      </x:c>
      <x:c r="B11" s="16" t="str">
        <x:v>Feb</x:v>
      </x:c>
      <x:c r="C11" s="16" t="str">
        <x:v>South</x:v>
      </x:c>
      <x:c r="D11" s="16" t="str">
        <x:v>Corporate</x:v>
      </x:c>
      <x:c r="E11" s="16" t="str">
        <x:v>Phones</x:v>
      </x:c>
      <x:c r="F11" s="16" t="n">
        <x:v>22</x:v>
      </x:c>
      <x:c r="G11" s="29" t="n">
        <x:f>IF(E11="Laptops",10000,IF(E11="Phones",2000,1500))</x:f>
        <x:v>2000</x:v>
      </x:c>
      <x:c r="H11" s="29" t="n">
        <x:f>F11*G11</x:f>
        <x:v>44000</x:v>
      </x:c>
      <x:c r="I11" s="33" t="n">
        <x:f>IF(E11="Laptops",70%,IF(E11="Phones",65%,60%))</x:f>
        <x:v>0.65</x:v>
      </x:c>
      <x:c r="J11" s="29" t="n">
        <x:f>H11*I11</x:f>
        <x:v>28600</x:v>
      </x:c>
      <x:c r="K11" s="33" t="n">
        <x:f>IF(OR(C11="East",C11="West"),5%,2%)</x:f>
        <x:v>0.02</x:v>
      </x:c>
      <x:c r="L11" s="29" t="n">
        <x:f>J11*K11</x:f>
        <x:v>572</x:v>
      </x:c>
      <x:c r="M11" s="29" t="n">
        <x:f>J11+L11</x:f>
        <x:v>29172</x:v>
      </x:c>
      <x:c r="N11" s="29" t="n">
        <x:f>H11-M11</x:f>
        <x:v>14828</x:v>
      </x:c>
      <x:c r="O11" s="37" t="n">
        <x:f>IFERROR(N11/H11,0)</x:f>
        <x:v>0.337</x:v>
      </x:c>
      <x:c r="P11" s="17" t="str">
        <x:f>IF(F11&gt;20,"Bulk","Standard")</x:f>
        <x:v>Bulk</x:v>
      </x:c>
    </x:row>
    <x:row r="12">
      <x:c r="A12" s="15" t="n">
        <x:v>5011</x:v>
      </x:c>
      <x:c r="B12" s="16" t="str">
        <x:v>Mar</x:v>
      </x:c>
      <x:c r="C12" s="16" t="str">
        <x:v>East</x:v>
      </x:c>
      <x:c r="D12" s="16" t="str">
        <x:v>Retail</x:v>
      </x:c>
      <x:c r="E12" s="16" t="str">
        <x:v>Tablets</x:v>
      </x:c>
      <x:c r="F12" s="16" t="n">
        <x:v>35</x:v>
      </x:c>
      <x:c r="G12" s="29" t="n">
        <x:f>IF(E12="Laptops",10000,IF(E12="Phones",2000,1500))</x:f>
        <x:v>1500</x:v>
      </x:c>
      <x:c r="H12" s="29" t="n">
        <x:f>F12*G12</x:f>
        <x:v>52500</x:v>
      </x:c>
      <x:c r="I12" s="33" t="n">
        <x:f>IF(E12="Laptops",70%,IF(E12="Phones",65%,60%))</x:f>
        <x:v>0.6</x:v>
      </x:c>
      <x:c r="J12" s="29" t="n">
        <x:f>H12*I12</x:f>
        <x:v>31500</x:v>
      </x:c>
      <x:c r="K12" s="33" t="n">
        <x:f>IF(OR(C12="East",C12="West"),5%,2%)</x:f>
        <x:v>0.05</x:v>
      </x:c>
      <x:c r="L12" s="29" t="n">
        <x:f>J12*K12</x:f>
        <x:v>1575</x:v>
      </x:c>
      <x:c r="M12" s="29" t="n">
        <x:f>J12+L12</x:f>
        <x:v>33075</x:v>
      </x:c>
      <x:c r="N12" s="29" t="n">
        <x:f>H12-M12</x:f>
        <x:v>19425</x:v>
      </x:c>
      <x:c r="O12" s="37" t="n">
        <x:f>IFERROR(N12/H12,0)</x:f>
        <x:v>0.37</x:v>
      </x:c>
      <x:c r="P12" s="17" t="str">
        <x:f>IF(F12&gt;20,"Bulk","Standard")</x:f>
        <x:v>Bulk</x:v>
      </x:c>
    </x:row>
    <x:row r="13">
      <x:c r="A13" s="15" t="n">
        <x:v>5012</x:v>
      </x:c>
      <x:c r="B13" s="16" t="str">
        <x:v>Mar</x:v>
      </x:c>
      <x:c r="C13" s="16" t="str">
        <x:v>West</x:v>
      </x:c>
      <x:c r="D13" s="16" t="str">
        <x:v>Corporate</x:v>
      </x:c>
      <x:c r="E13" s="16" t="str">
        <x:v>Laptops</x:v>
      </x:c>
      <x:c r="F13" s="16" t="n">
        <x:v>18</x:v>
      </x:c>
      <x:c r="G13" s="29" t="n">
        <x:f>IF(E13="Laptops",10000,IF(E13="Phones",2000,1500))</x:f>
        <x:v>10000</x:v>
      </x:c>
      <x:c r="H13" s="29" t="n">
        <x:f>F13*G13</x:f>
        <x:v>180000</x:v>
      </x:c>
      <x:c r="I13" s="33" t="n">
        <x:f>IF(E13="Laptops",70%,IF(E13="Phones",65%,60%))</x:f>
        <x:v>0.7</x:v>
      </x:c>
      <x:c r="J13" s="29" t="n">
        <x:f>H13*I13</x:f>
        <x:v>125999.99999999999</x:v>
      </x:c>
      <x:c r="K13" s="33" t="n">
        <x:f>IF(OR(C13="East",C13="West"),5%,2%)</x:f>
        <x:v>0.05</x:v>
      </x:c>
      <x:c r="L13" s="29" t="n">
        <x:f>J13*K13</x:f>
        <x:v>6300</x:v>
      </x:c>
      <x:c r="M13" s="29" t="n">
        <x:f>J13+L13</x:f>
        <x:v>132300</x:v>
      </x:c>
      <x:c r="N13" s="29" t="n">
        <x:f>H13-M13</x:f>
        <x:v>47700</x:v>
      </x:c>
      <x:c r="O13" s="37" t="n">
        <x:f>IFERROR(N13/H13,0)</x:f>
        <x:v>0.265</x:v>
      </x:c>
      <x:c r="P13" s="17" t="str">
        <x:f>IF(F13&gt;20,"Bulk","Standard")</x:f>
        <x:v>Standard</x:v>
      </x:c>
    </x:row>
    <x:row r="14">
      <x:c r="A14" s="15" t="n">
        <x:v>5013</x:v>
      </x:c>
      <x:c r="B14" s="16" t="str">
        <x:v>Mar</x:v>
      </x:c>
      <x:c r="C14" s="16" t="str">
        <x:v>North</x:v>
      </x:c>
      <x:c r="D14" s="16" t="str">
        <x:v>Retail</x:v>
      </x:c>
      <x:c r="E14" s="16" t="str">
        <x:v>Phones</x:v>
      </x:c>
      <x:c r="F14" s="16" t="n">
        <x:v>50</x:v>
      </x:c>
      <x:c r="G14" s="29" t="n">
        <x:f>IF(E14="Laptops",10000,IF(E14="Phones",2000,1500))</x:f>
        <x:v>2000</x:v>
      </x:c>
      <x:c r="H14" s="29" t="n">
        <x:f>F14*G14</x:f>
        <x:v>100000</x:v>
      </x:c>
      <x:c r="I14" s="33" t="n">
        <x:f>IF(E14="Laptops",70%,IF(E14="Phones",65%,60%))</x:f>
        <x:v>0.65</x:v>
      </x:c>
      <x:c r="J14" s="29" t="n">
        <x:f>H14*I14</x:f>
        <x:v>65000</x:v>
      </x:c>
      <x:c r="K14" s="33" t="n">
        <x:f>IF(OR(C14="East",C14="West"),5%,2%)</x:f>
        <x:v>0.02</x:v>
      </x:c>
      <x:c r="L14" s="29" t="n">
        <x:f>J14*K14</x:f>
        <x:v>1300</x:v>
      </x:c>
      <x:c r="M14" s="29" t="n">
        <x:f>J14+L14</x:f>
        <x:v>66300</x:v>
      </x:c>
      <x:c r="N14" s="29" t="n">
        <x:f>H14-M14</x:f>
        <x:v>33700</x:v>
      </x:c>
      <x:c r="O14" s="37" t="n">
        <x:f>IFERROR(N14/H14,0)</x:f>
        <x:v>0.337</x:v>
      </x:c>
      <x:c r="P14" s="17" t="str">
        <x:f>IF(F14&gt;20,"Bulk","Standard")</x:f>
        <x:v>Bulk</x:v>
      </x:c>
    </x:row>
    <x:row r="15">
      <x:c r="A15" s="15" t="n">
        <x:v>5014</x:v>
      </x:c>
      <x:c r="B15" s="16" t="str">
        <x:v>Mar</x:v>
      </x:c>
      <x:c r="C15" s="16" t="str">
        <x:v>South</x:v>
      </x:c>
      <x:c r="D15" s="16" t="str">
        <x:v>Corporate</x:v>
      </x:c>
      <x:c r="E15" s="16" t="str">
        <x:v>Tablets</x:v>
      </x:c>
      <x:c r="F15" s="16" t="n">
        <x:v>12</x:v>
      </x:c>
      <x:c r="G15" s="29" t="n">
        <x:f>IF(E15="Laptops",10000,IF(E15="Phones",2000,1500))</x:f>
        <x:v>1500</x:v>
      </x:c>
      <x:c r="H15" s="29" t="n">
        <x:f>F15*G15</x:f>
        <x:v>18000</x:v>
      </x:c>
      <x:c r="I15" s="33" t="n">
        <x:f>IF(E15="Laptops",70%,IF(E15="Phones",65%,60%))</x:f>
        <x:v>0.6</x:v>
      </x:c>
      <x:c r="J15" s="29" t="n">
        <x:f>H15*I15</x:f>
        <x:v>10800</x:v>
      </x:c>
      <x:c r="K15" s="33" t="n">
        <x:f>IF(OR(C15="East",C15="West"),5%,2%)</x:f>
        <x:v>0.02</x:v>
      </x:c>
      <x:c r="L15" s="29" t="n">
        <x:f>J15*K15</x:f>
        <x:v>216</x:v>
      </x:c>
      <x:c r="M15" s="29" t="n">
        <x:f>J15+L15</x:f>
        <x:v>11016</x:v>
      </x:c>
      <x:c r="N15" s="29" t="n">
        <x:f>H15-M15</x:f>
        <x:v>6984</x:v>
      </x:c>
      <x:c r="O15" s="37" t="n">
        <x:f>IFERROR(N15/H15,0)</x:f>
        <x:v>0.388</x:v>
      </x:c>
      <x:c r="P15" s="17" t="str">
        <x:f>IF(F15&gt;20,"Bulk","Standard")</x:f>
        <x:v>Standard</x:v>
      </x:c>
    </x:row>
    <x:row r="16">
      <x:c r="A16" s="15" t="n">
        <x:v>5015</x:v>
      </x:c>
      <x:c r="B16" s="16" t="str">
        <x:v>Mar</x:v>
      </x:c>
      <x:c r="C16" s="16" t="str">
        <x:v>East</x:v>
      </x:c>
      <x:c r="D16" s="16" t="str">
        <x:v>Retail</x:v>
      </x:c>
      <x:c r="E16" s="16" t="str">
        <x:v>Laptops</x:v>
      </x:c>
      <x:c r="F16" s="16" t="n">
        <x:v>7</x:v>
      </x:c>
      <x:c r="G16" s="29" t="n">
        <x:f>IF(E16="Laptops",10000,IF(E16="Phones",2000,1500))</x:f>
        <x:v>10000</x:v>
      </x:c>
      <x:c r="H16" s="29" t="n">
        <x:f>F16*G16</x:f>
        <x:v>70000</x:v>
      </x:c>
      <x:c r="I16" s="33" t="n">
        <x:f>IF(E16="Laptops",70%,IF(E16="Phones",65%,60%))</x:f>
        <x:v>0.7</x:v>
      </x:c>
      <x:c r="J16" s="29" t="n">
        <x:f>H16*I16</x:f>
        <x:v>49000</x:v>
      </x:c>
      <x:c r="K16" s="33" t="n">
        <x:f>IF(OR(C16="East",C16="West"),5%,2%)</x:f>
        <x:v>0.05</x:v>
      </x:c>
      <x:c r="L16" s="29" t="n">
        <x:f>J16*K16</x:f>
        <x:v>2450</x:v>
      </x:c>
      <x:c r="M16" s="29" t="n">
        <x:f>J16+L16</x:f>
        <x:v>51450</x:v>
      </x:c>
      <x:c r="N16" s="29" t="n">
        <x:f>H16-M16</x:f>
        <x:v>18550</x:v>
      </x:c>
      <x:c r="O16" s="37" t="n">
        <x:f>IFERROR(N16/H16,0)</x:f>
        <x:v>0.265</x:v>
      </x:c>
      <x:c r="P16" s="17" t="str">
        <x:f>IF(F16&gt;20,"Bulk","Standard")</x:f>
        <x:v>Standard</x:v>
      </x:c>
    </x:row>
    <x:row r="17">
      <x:c r="A17" s="15" t="n">
        <x:v>5016</x:v>
      </x:c>
      <x:c r="B17" s="16" t="str">
        <x:v>Apr</x:v>
      </x:c>
      <x:c r="C17" s="16" t="str">
        <x:v>West</x:v>
      </x:c>
      <x:c r="D17" s="16" t="str">
        <x:v>Corporate</x:v>
      </x:c>
      <x:c r="E17" s="16" t="str">
        <x:v>Phones</x:v>
      </x:c>
      <x:c r="F17" s="16" t="n">
        <x:v>45</x:v>
      </x:c>
      <x:c r="G17" s="29" t="n">
        <x:f>IF(E17="Laptops",10000,IF(E17="Phones",2000,1500))</x:f>
        <x:v>2000</x:v>
      </x:c>
      <x:c r="H17" s="29" t="n">
        <x:f>F17*G17</x:f>
        <x:v>90000</x:v>
      </x:c>
      <x:c r="I17" s="33" t="n">
        <x:f>IF(E17="Laptops",70%,IF(E17="Phones",65%,60%))</x:f>
        <x:v>0.65</x:v>
      </x:c>
      <x:c r="J17" s="29" t="n">
        <x:f>H17*I17</x:f>
        <x:v>58500</x:v>
      </x:c>
      <x:c r="K17" s="33" t="n">
        <x:f>IF(OR(C17="East",C17="West"),5%,2%)</x:f>
        <x:v>0.05</x:v>
      </x:c>
      <x:c r="L17" s="29" t="n">
        <x:f>J17*K17</x:f>
        <x:v>2925</x:v>
      </x:c>
      <x:c r="M17" s="29" t="n">
        <x:f>J17+L17</x:f>
        <x:v>61425</x:v>
      </x:c>
      <x:c r="N17" s="29" t="n">
        <x:f>H17-M17</x:f>
        <x:v>28575</x:v>
      </x:c>
      <x:c r="O17" s="37" t="n">
        <x:f>IFERROR(N17/H17,0)</x:f>
        <x:v>0.3175</x:v>
      </x:c>
      <x:c r="P17" s="17" t="str">
        <x:f>IF(F17&gt;20,"Bulk","Standard")</x:f>
        <x:v>Bulk</x:v>
      </x:c>
    </x:row>
    <x:row r="18">
      <x:c r="A18" s="15" t="n">
        <x:v>5017</x:v>
      </x:c>
      <x:c r="B18" s="16" t="str">
        <x:v>Apr</x:v>
      </x:c>
      <x:c r="C18" s="16" t="str">
        <x:v>North</x:v>
      </x:c>
      <x:c r="D18" s="16" t="str">
        <x:v>Retail</x:v>
      </x:c>
      <x:c r="E18" s="16" t="str">
        <x:v>Tablets</x:v>
      </x:c>
      <x:c r="F18" s="16" t="n">
        <x:v>30</x:v>
      </x:c>
      <x:c r="G18" s="29" t="n">
        <x:f>IF(E18="Laptops",10000,IF(E18="Phones",2000,1500))</x:f>
        <x:v>1500</x:v>
      </x:c>
      <x:c r="H18" s="29" t="n">
        <x:f>F18*G18</x:f>
        <x:v>45000</x:v>
      </x:c>
      <x:c r="I18" s="33" t="n">
        <x:f>IF(E18="Laptops",70%,IF(E18="Phones",65%,60%))</x:f>
        <x:v>0.6</x:v>
      </x:c>
      <x:c r="J18" s="29" t="n">
        <x:f>H18*I18</x:f>
        <x:v>27000</x:v>
      </x:c>
      <x:c r="K18" s="33" t="n">
        <x:f>IF(OR(C18="East",C18="West"),5%,2%)</x:f>
        <x:v>0.02</x:v>
      </x:c>
      <x:c r="L18" s="29" t="n">
        <x:f>J18*K18</x:f>
        <x:v>540</x:v>
      </x:c>
      <x:c r="M18" s="29" t="n">
        <x:f>J18+L18</x:f>
        <x:v>27540</x:v>
      </x:c>
      <x:c r="N18" s="29" t="n">
        <x:f>H18-M18</x:f>
        <x:v>17460</x:v>
      </x:c>
      <x:c r="O18" s="37" t="n">
        <x:f>IFERROR(N18/H18,0)</x:f>
        <x:v>0.388</x:v>
      </x:c>
      <x:c r="P18" s="17" t="str">
        <x:f>IF(F18&gt;20,"Bulk","Standard")</x:f>
        <x:v>Bulk</x:v>
      </x:c>
    </x:row>
    <x:row r="19">
      <x:c r="A19" s="15" t="n">
        <x:v>5018</x:v>
      </x:c>
      <x:c r="B19" s="16" t="str">
        <x:v>Apr</x:v>
      </x:c>
      <x:c r="C19" s="16" t="str">
        <x:v>South</x:v>
      </x:c>
      <x:c r="D19" s="16" t="str">
        <x:v>Corporate</x:v>
      </x:c>
      <x:c r="E19" s="16" t="str">
        <x:v>Laptops</x:v>
      </x:c>
      <x:c r="F19" s="16" t="n">
        <x:v>20</x:v>
      </x:c>
      <x:c r="G19" s="29" t="n">
        <x:f>IF(E19="Laptops",10000,IF(E19="Phones",2000,1500))</x:f>
        <x:v>10000</x:v>
      </x:c>
      <x:c r="H19" s="29" t="n">
        <x:f>F19*G19</x:f>
        <x:v>200000</x:v>
      </x:c>
      <x:c r="I19" s="33" t="n">
        <x:f>IF(E19="Laptops",70%,IF(E19="Phones",65%,60%))</x:f>
        <x:v>0.7</x:v>
      </x:c>
      <x:c r="J19" s="29" t="n">
        <x:f>H19*I19</x:f>
        <x:v>140000</x:v>
      </x:c>
      <x:c r="K19" s="33" t="n">
        <x:f>IF(OR(C19="East",C19="West"),5%,2%)</x:f>
        <x:v>0.02</x:v>
      </x:c>
      <x:c r="L19" s="29" t="n">
        <x:f>J19*K19</x:f>
        <x:v>2800</x:v>
      </x:c>
      <x:c r="M19" s="29" t="n">
        <x:f>J19+L19</x:f>
        <x:v>142800</x:v>
      </x:c>
      <x:c r="N19" s="29" t="n">
        <x:f>H19-M19</x:f>
        <x:v>57200</x:v>
      </x:c>
      <x:c r="O19" s="37" t="n">
        <x:f>IFERROR(N19/H19,0)</x:f>
        <x:v>0.286</x:v>
      </x:c>
      <x:c r="P19" s="17" t="str">
        <x:f>IF(F19&gt;20,"Bulk","Standard")</x:f>
        <x:v>Standard</x:v>
      </x:c>
    </x:row>
    <x:row r="20">
      <x:c r="A20" s="15" t="n">
        <x:v>5019</x:v>
      </x:c>
      <x:c r="B20" s="16" t="str">
        <x:v>Apr</x:v>
      </x:c>
      <x:c r="C20" s="16" t="str">
        <x:v>East</x:v>
      </x:c>
      <x:c r="D20" s="16" t="str">
        <x:v>Retail</x:v>
      </x:c>
      <x:c r="E20" s="16" t="str">
        <x:v>Phones</x:v>
      </x:c>
      <x:c r="F20" s="16" t="n">
        <x:v>60</x:v>
      </x:c>
      <x:c r="G20" s="29" t="n">
        <x:f>IF(E20="Laptops",10000,IF(E20="Phones",2000,1500))</x:f>
        <x:v>2000</x:v>
      </x:c>
      <x:c r="H20" s="29" t="n">
        <x:f>F20*G20</x:f>
        <x:v>120000</x:v>
      </x:c>
      <x:c r="I20" s="33" t="n">
        <x:f>IF(E20="Laptops",70%,IF(E20="Phones",65%,60%))</x:f>
        <x:v>0.65</x:v>
      </x:c>
      <x:c r="J20" s="29" t="n">
        <x:f>H20*I20</x:f>
        <x:v>78000</x:v>
      </x:c>
      <x:c r="K20" s="33" t="n">
        <x:f>IF(OR(C20="East",C20="West"),5%,2%)</x:f>
        <x:v>0.05</x:v>
      </x:c>
      <x:c r="L20" s="29" t="n">
        <x:f>J20*K20</x:f>
        <x:v>3900</x:v>
      </x:c>
      <x:c r="M20" s="29" t="n">
        <x:f>J20+L20</x:f>
        <x:v>81900</x:v>
      </x:c>
      <x:c r="N20" s="29" t="n">
        <x:f>H20-M20</x:f>
        <x:v>38100</x:v>
      </x:c>
      <x:c r="O20" s="37" t="n">
        <x:f>IFERROR(N20/H20,0)</x:f>
        <x:v>0.3175</x:v>
      </x:c>
      <x:c r="P20" s="17" t="str">
        <x:f>IF(F20&gt;20,"Bulk","Standard")</x:f>
        <x:v>Bulk</x:v>
      </x:c>
    </x:row>
    <x:row r="21">
      <x:c r="A21" s="15" t="n">
        <x:v>5020</x:v>
      </x:c>
      <x:c r="B21" s="16" t="str">
        <x:v>Apr</x:v>
      </x:c>
      <x:c r="C21" s="16" t="str">
        <x:v>West</x:v>
      </x:c>
      <x:c r="D21" s="16" t="str">
        <x:v>Corporate</x:v>
      </x:c>
      <x:c r="E21" s="16" t="str">
        <x:v>Tablets</x:v>
      </x:c>
      <x:c r="F21" s="16" t="n">
        <x:v>15</x:v>
      </x:c>
      <x:c r="G21" s="29" t="n">
        <x:f>IF(E21="Laptops",10000,IF(E21="Phones",2000,1500))</x:f>
        <x:v>1500</x:v>
      </x:c>
      <x:c r="H21" s="29" t="n">
        <x:f>F21*G21</x:f>
        <x:v>22500</x:v>
      </x:c>
      <x:c r="I21" s="33" t="n">
        <x:f>IF(E21="Laptops",70%,IF(E21="Phones",65%,60%))</x:f>
        <x:v>0.6</x:v>
      </x:c>
      <x:c r="J21" s="29" t="n">
        <x:f>H21*I21</x:f>
        <x:v>13500</x:v>
      </x:c>
      <x:c r="K21" s="33" t="n">
        <x:f>IF(OR(C21="East",C21="West"),5%,2%)</x:f>
        <x:v>0.05</x:v>
      </x:c>
      <x:c r="L21" s="29" t="n">
        <x:f>J21*K21</x:f>
        <x:v>675</x:v>
      </x:c>
      <x:c r="M21" s="29" t="n">
        <x:f>J21+L21</x:f>
        <x:v>14175</x:v>
      </x:c>
      <x:c r="N21" s="29" t="n">
        <x:f>H21-M21</x:f>
        <x:v>8325</x:v>
      </x:c>
      <x:c r="O21" s="37" t="n">
        <x:f>IFERROR(N21/H21,0)</x:f>
        <x:v>0.37</x:v>
      </x:c>
      <x:c r="P21" s="17" t="str">
        <x:f>IF(F21&gt;20,"Bulk","Standard")</x:f>
        <x:v>Standard</x:v>
      </x:c>
    </x:row>
    <x:row r="22">
      <x:c r="A22" s="15" t="n">
        <x:v>5021</x:v>
      </x:c>
      <x:c r="B22" s="16" t="str">
        <x:v>May</x:v>
      </x:c>
      <x:c r="C22" s="16" t="str">
        <x:v>North</x:v>
      </x:c>
      <x:c r="D22" s="16" t="str">
        <x:v>Corporate</x:v>
      </x:c>
      <x:c r="E22" s="16" t="str">
        <x:v>Laptops</x:v>
      </x:c>
      <x:c r="F22" s="16" t="n">
        <x:v>22</x:v>
      </x:c>
      <x:c r="G22" s="29" t="n">
        <x:f>IF(E22="Laptops",10000,IF(E22="Phones",2000,1500))</x:f>
        <x:v>10000</x:v>
      </x:c>
      <x:c r="H22" s="29" t="n">
        <x:f>F22*G22</x:f>
        <x:v>220000</x:v>
      </x:c>
      <x:c r="I22" s="33" t="n">
        <x:f>IF(E22="Laptops",70%,IF(E22="Phones",65%,60%))</x:f>
        <x:v>0.7</x:v>
      </x:c>
      <x:c r="J22" s="29" t="n">
        <x:f>H22*I22</x:f>
        <x:v>154000</x:v>
      </x:c>
      <x:c r="K22" s="33" t="n">
        <x:f>IF(OR(C22="East",C22="West"),5%,2%)</x:f>
        <x:v>0.02</x:v>
      </x:c>
      <x:c r="L22" s="29" t="n">
        <x:f>J22*K22</x:f>
        <x:v>3080</x:v>
      </x:c>
      <x:c r="M22" s="29" t="n">
        <x:f>J22+L22</x:f>
        <x:v>157080</x:v>
      </x:c>
      <x:c r="N22" s="29" t="n">
        <x:f>H22-M22</x:f>
        <x:v>62920</x:v>
      </x:c>
      <x:c r="O22" s="37" t="n">
        <x:f>IFERROR(N22/H22,0)</x:f>
        <x:v>0.286</x:v>
      </x:c>
      <x:c r="P22" s="17" t="str">
        <x:f>IF(F22&gt;20,"Bulk","Standard")</x:f>
        <x:v>Bulk</x:v>
      </x:c>
    </x:row>
    <x:row r="23">
      <x:c r="A23" s="15" t="n">
        <x:v>5022</x:v>
      </x:c>
      <x:c r="B23" s="16" t="str">
        <x:v>May</x:v>
      </x:c>
      <x:c r="C23" s="16" t="str">
        <x:v>South</x:v>
      </x:c>
      <x:c r="D23" s="16" t="str">
        <x:v>Retail</x:v>
      </x:c>
      <x:c r="E23" s="16" t="str">
        <x:v>Phones</x:v>
      </x:c>
      <x:c r="F23" s="16" t="n">
        <x:v>35</x:v>
      </x:c>
      <x:c r="G23" s="29" t="n">
        <x:f>IF(E23="Laptops",10000,IF(E23="Phones",2000,1500))</x:f>
        <x:v>2000</x:v>
      </x:c>
      <x:c r="H23" s="29" t="n">
        <x:f>F23*G23</x:f>
        <x:v>70000</x:v>
      </x:c>
      <x:c r="I23" s="33" t="n">
        <x:f>IF(E23="Laptops",70%,IF(E23="Phones",65%,60%))</x:f>
        <x:v>0.65</x:v>
      </x:c>
      <x:c r="J23" s="29" t="n">
        <x:f>H23*I23</x:f>
        <x:v>45500</x:v>
      </x:c>
      <x:c r="K23" s="33" t="n">
        <x:f>IF(OR(C23="East",C23="West"),5%,2%)</x:f>
        <x:v>0.02</x:v>
      </x:c>
      <x:c r="L23" s="29" t="n">
        <x:f>J23*K23</x:f>
        <x:v>910</x:v>
      </x:c>
      <x:c r="M23" s="29" t="n">
        <x:f>J23+L23</x:f>
        <x:v>46410</x:v>
      </x:c>
      <x:c r="N23" s="29" t="n">
        <x:f>H23-M23</x:f>
        <x:v>23590</x:v>
      </x:c>
      <x:c r="O23" s="37" t="n">
        <x:f>IFERROR(N23/H23,0)</x:f>
        <x:v>0.337</x:v>
      </x:c>
      <x:c r="P23" s="17" t="str">
        <x:f>IF(F23&gt;20,"Bulk","Standard")</x:f>
        <x:v>Bulk</x:v>
      </x:c>
    </x:row>
    <x:row r="24">
      <x:c r="A24" s="15" t="n">
        <x:v>5023</x:v>
      </x:c>
      <x:c r="B24" s="16" t="str">
        <x:v>May</x:v>
      </x:c>
      <x:c r="C24" s="16" t="str">
        <x:v>East</x:v>
      </x:c>
      <x:c r="D24" s="16" t="str">
        <x:v>Corporate</x:v>
      </x:c>
      <x:c r="E24" s="16" t="str">
        <x:v>Tablets</x:v>
      </x:c>
      <x:c r="F24" s="16" t="n">
        <x:v>18</x:v>
      </x:c>
      <x:c r="G24" s="29" t="n">
        <x:f>IF(E24="Laptops",10000,IF(E24="Phones",2000,1500))</x:f>
        <x:v>1500</x:v>
      </x:c>
      <x:c r="H24" s="29" t="n">
        <x:f>F24*G24</x:f>
        <x:v>27000</x:v>
      </x:c>
      <x:c r="I24" s="33" t="n">
        <x:f>IF(E24="Laptops",70%,IF(E24="Phones",65%,60%))</x:f>
        <x:v>0.6</x:v>
      </x:c>
      <x:c r="J24" s="29" t="n">
        <x:f>H24*I24</x:f>
        <x:v>16200</x:v>
      </x:c>
      <x:c r="K24" s="33" t="n">
        <x:f>IF(OR(C24="East",C24="West"),5%,2%)</x:f>
        <x:v>0.05</x:v>
      </x:c>
      <x:c r="L24" s="29" t="n">
        <x:f>J24*K24</x:f>
        <x:v>810</x:v>
      </x:c>
      <x:c r="M24" s="29" t="n">
        <x:f>J24+L24</x:f>
        <x:v>17010</x:v>
      </x:c>
      <x:c r="N24" s="29" t="n">
        <x:f>H24-M24</x:f>
        <x:v>9990</x:v>
      </x:c>
      <x:c r="O24" s="37" t="n">
        <x:f>IFERROR(N24/H24,0)</x:f>
        <x:v>0.37</x:v>
      </x:c>
      <x:c r="P24" s="17" t="str">
        <x:f>IF(F24&gt;20,"Bulk","Standard")</x:f>
        <x:v>Standard</x:v>
      </x:c>
    </x:row>
    <x:row r="25">
      <x:c r="A25" s="15" t="n">
        <x:v>5024</x:v>
      </x:c>
      <x:c r="B25" s="16" t="str">
        <x:v>May</x:v>
      </x:c>
      <x:c r="C25" s="16" t="str">
        <x:v>West</x:v>
      </x:c>
      <x:c r="D25" s="16" t="str">
        <x:v>Retail</x:v>
      </x:c>
      <x:c r="E25" s="16" t="str">
        <x:v>Laptops</x:v>
      </x:c>
      <x:c r="F25" s="16" t="n">
        <x:v>14</x:v>
      </x:c>
      <x:c r="G25" s="29" t="n">
        <x:f>IF(E25="Laptops",10000,IF(E25="Phones",2000,1500))</x:f>
        <x:v>10000</x:v>
      </x:c>
      <x:c r="H25" s="29" t="n">
        <x:f>F25*G25</x:f>
        <x:v>140000</x:v>
      </x:c>
      <x:c r="I25" s="33" t="n">
        <x:f>IF(E25="Laptops",70%,IF(E25="Phones",65%,60%))</x:f>
        <x:v>0.7</x:v>
      </x:c>
      <x:c r="J25" s="29" t="n">
        <x:f>H25*I25</x:f>
        <x:v>98000</x:v>
      </x:c>
      <x:c r="K25" s="33" t="n">
        <x:f>IF(OR(C25="East",C25="West"),5%,2%)</x:f>
        <x:v>0.05</x:v>
      </x:c>
      <x:c r="L25" s="29" t="n">
        <x:f>J25*K25</x:f>
        <x:v>4900</x:v>
      </x:c>
      <x:c r="M25" s="29" t="n">
        <x:f>J25+L25</x:f>
        <x:v>102900</x:v>
      </x:c>
      <x:c r="N25" s="29" t="n">
        <x:f>H25-M25</x:f>
        <x:v>37100</x:v>
      </x:c>
      <x:c r="O25" s="37" t="n">
        <x:f>IFERROR(N25/H25,0)</x:f>
        <x:v>0.265</x:v>
      </x:c>
      <x:c r="P25" s="17" t="str">
        <x:f>IF(F25&gt;20,"Bulk","Standard")</x:f>
        <x:v>Standard</x:v>
      </x:c>
    </x:row>
    <x:row r="26">
      <x:c r="A26" s="15" t="n">
        <x:v>5025</x:v>
      </x:c>
      <x:c r="B26" s="16" t="str">
        <x:v>May</x:v>
      </x:c>
      <x:c r="C26" s="16" t="str">
        <x:v>North</x:v>
      </x:c>
      <x:c r="D26" s="16" t="str">
        <x:v>Corporate</x:v>
      </x:c>
      <x:c r="E26" s="16" t="str">
        <x:v>Phones</x:v>
      </x:c>
      <x:c r="F26" s="16" t="n">
        <x:v>28</x:v>
      </x:c>
      <x:c r="G26" s="29" t="n">
        <x:f>IF(E26="Laptops",10000,IF(E26="Phones",2000,1500))</x:f>
        <x:v>2000</x:v>
      </x:c>
      <x:c r="H26" s="29" t="n">
        <x:f>F26*G26</x:f>
        <x:v>56000</x:v>
      </x:c>
      <x:c r="I26" s="33" t="n">
        <x:f>IF(E26="Laptops",70%,IF(E26="Phones",65%,60%))</x:f>
        <x:v>0.65</x:v>
      </x:c>
      <x:c r="J26" s="29" t="n">
        <x:f>H26*I26</x:f>
        <x:v>36400</x:v>
      </x:c>
      <x:c r="K26" s="33" t="n">
        <x:f>IF(OR(C26="East",C26="West"),5%,2%)</x:f>
        <x:v>0.02</x:v>
      </x:c>
      <x:c r="L26" s="29" t="n">
        <x:f>J26*K26</x:f>
        <x:v>728</x:v>
      </x:c>
      <x:c r="M26" s="29" t="n">
        <x:f>J26+L26</x:f>
        <x:v>37128</x:v>
      </x:c>
      <x:c r="N26" s="29" t="n">
        <x:f>H26-M26</x:f>
        <x:v>18872</x:v>
      </x:c>
      <x:c r="O26" s="37" t="n">
        <x:f>IFERROR(N26/H26,0)</x:f>
        <x:v>0.337</x:v>
      </x:c>
      <x:c r="P26" s="17" t="str">
        <x:f>IF(F26&gt;20,"Bulk","Standard")</x:f>
        <x:v>Bulk</x:v>
      </x:c>
    </x:row>
    <x:row r="27">
      <x:c r="A27" s="15" t="n">
        <x:v>5026</x:v>
      </x:c>
      <x:c r="B27" s="16" t="str">
        <x:v>Jun</x:v>
      </x:c>
      <x:c r="C27" s="16" t="str">
        <x:v>South</x:v>
      </x:c>
      <x:c r="D27" s="16" t="str">
        <x:v>Retail</x:v>
      </x:c>
      <x:c r="E27" s="16" t="str">
        <x:v>Laptops</x:v>
      </x:c>
      <x:c r="F27" s="16" t="n">
        <x:v>9</x:v>
      </x:c>
      <x:c r="G27" s="29" t="n">
        <x:f>IF(E27="Laptops",10000,IF(E27="Phones",2000,1500))</x:f>
        <x:v>10000</x:v>
      </x:c>
      <x:c r="H27" s="29" t="n">
        <x:f>F27*G27</x:f>
        <x:v>90000</x:v>
      </x:c>
      <x:c r="I27" s="33" t="n">
        <x:f>IF(E27="Laptops",70%,IF(E27="Phones",65%,60%))</x:f>
        <x:v>0.7</x:v>
      </x:c>
      <x:c r="J27" s="29" t="n">
        <x:f>H27*I27</x:f>
        <x:v>62999.99999999999</x:v>
      </x:c>
      <x:c r="K27" s="33" t="n">
        <x:f>IF(OR(C27="East",C27="West"),5%,2%)</x:f>
        <x:v>0.02</x:v>
      </x:c>
      <x:c r="L27" s="29" t="n">
        <x:f>J27*K27</x:f>
        <x:v>1259.9999999999998</x:v>
      </x:c>
      <x:c r="M27" s="29" t="n">
        <x:f>J27+L27</x:f>
        <x:v>64259.99999999999</x:v>
      </x:c>
      <x:c r="N27" s="29" t="n">
        <x:f>H27-M27</x:f>
        <x:v>25740.000000000007</x:v>
      </x:c>
      <x:c r="O27" s="37" t="n">
        <x:f>IFERROR(N27/H27,0)</x:f>
        <x:v>0.2860000000000001</x:v>
      </x:c>
      <x:c r="P27" s="17" t="str">
        <x:f>IF(F27&gt;20,"Bulk","Standard")</x:f>
        <x:v>Standard</x:v>
      </x:c>
    </x:row>
    <x:row r="28">
      <x:c r="A28" s="15" t="n">
        <x:v>5027</x:v>
      </x:c>
      <x:c r="B28" s="16" t="str">
        <x:v>Jun</x:v>
      </x:c>
      <x:c r="C28" s="16" t="str">
        <x:v>East</x:v>
      </x:c>
      <x:c r="D28" s="16" t="str">
        <x:v>Corporate</x:v>
      </x:c>
      <x:c r="E28" s="16" t="str">
        <x:v>Phones</x:v>
      </x:c>
      <x:c r="F28" s="16" t="n">
        <x:v>48</x:v>
      </x:c>
      <x:c r="G28" s="29" t="n">
        <x:f>IF(E28="Laptops",10000,IF(E28="Phones",2000,1500))</x:f>
        <x:v>2000</x:v>
      </x:c>
      <x:c r="H28" s="29" t="n">
        <x:f>F28*G28</x:f>
        <x:v>96000</x:v>
      </x:c>
      <x:c r="I28" s="33" t="n">
        <x:f>IF(E28="Laptops",70%,IF(E28="Phones",65%,60%))</x:f>
        <x:v>0.65</x:v>
      </x:c>
      <x:c r="J28" s="29" t="n">
        <x:f>H28*I28</x:f>
        <x:v>62400</x:v>
      </x:c>
      <x:c r="K28" s="33" t="n">
        <x:f>IF(OR(C28="East",C28="West"),5%,2%)</x:f>
        <x:v>0.05</x:v>
      </x:c>
      <x:c r="L28" s="29" t="n">
        <x:f>J28*K28</x:f>
        <x:v>3120</x:v>
      </x:c>
      <x:c r="M28" s="29" t="n">
        <x:f>J28+L28</x:f>
        <x:v>65520</x:v>
      </x:c>
      <x:c r="N28" s="29" t="n">
        <x:f>H28-M28</x:f>
        <x:v>30480</x:v>
      </x:c>
      <x:c r="O28" s="37" t="n">
        <x:f>IFERROR(N28/H28,0)</x:f>
        <x:v>0.3175</x:v>
      </x:c>
      <x:c r="P28" s="17" t="str">
        <x:f>IF(F28&gt;20,"Bulk","Standard")</x:f>
        <x:v>Bulk</x:v>
      </x:c>
    </x:row>
    <x:row r="29">
      <x:c r="A29" s="15" t="n">
        <x:v>5028</x:v>
      </x:c>
      <x:c r="B29" s="16" t="str">
        <x:v>Jun</x:v>
      </x:c>
      <x:c r="C29" s="16" t="str">
        <x:v>West</x:v>
      </x:c>
      <x:c r="D29" s="16" t="str">
        <x:v>Retail</x:v>
      </x:c>
      <x:c r="E29" s="16" t="str">
        <x:v>Tablets</x:v>
      </x:c>
      <x:c r="F29" s="16" t="n">
        <x:v>42</x:v>
      </x:c>
      <x:c r="G29" s="29" t="n">
        <x:f>IF(E29="Laptops",10000,IF(E29="Phones",2000,1500))</x:f>
        <x:v>1500</x:v>
      </x:c>
      <x:c r="H29" s="29" t="n">
        <x:f>F29*G29</x:f>
        <x:v>63000</x:v>
      </x:c>
      <x:c r="I29" s="33" t="n">
        <x:f>IF(E29="Laptops",70%,IF(E29="Phones",65%,60%))</x:f>
        <x:v>0.6</x:v>
      </x:c>
      <x:c r="J29" s="29" t="n">
        <x:f>H29*I29</x:f>
        <x:v>37800</x:v>
      </x:c>
      <x:c r="K29" s="33" t="n">
        <x:f>IF(OR(C29="East",C29="West"),5%,2%)</x:f>
        <x:v>0.05</x:v>
      </x:c>
      <x:c r="L29" s="29" t="n">
        <x:f>J29*K29</x:f>
        <x:v>1890</x:v>
      </x:c>
      <x:c r="M29" s="29" t="n">
        <x:f>J29+L29</x:f>
        <x:v>39690</x:v>
      </x:c>
      <x:c r="N29" s="29" t="n">
        <x:f>H29-M29</x:f>
        <x:v>23310</x:v>
      </x:c>
      <x:c r="O29" s="37" t="n">
        <x:f>IFERROR(N29/H29,0)</x:f>
        <x:v>0.37</x:v>
      </x:c>
      <x:c r="P29" s="17" t="str">
        <x:f>IF(F29&gt;20,"Bulk","Standard")</x:f>
        <x:v>Bulk</x:v>
      </x:c>
    </x:row>
    <x:row r="30">
      <x:c r="A30" s="15" t="n">
        <x:v>5029</x:v>
      </x:c>
      <x:c r="B30" s="16" t="str">
        <x:v>Jun</x:v>
      </x:c>
      <x:c r="C30" s="16" t="str">
        <x:v>North</x:v>
      </x:c>
      <x:c r="D30" s="16" t="str">
        <x:v>Retail</x:v>
      </x:c>
      <x:c r="E30" s="16" t="str">
        <x:v>Laptops</x:v>
      </x:c>
      <x:c r="F30" s="16" t="n">
        <x:v>16</x:v>
      </x:c>
      <x:c r="G30" s="29" t="n">
        <x:f>IF(E30="Laptops",10000,IF(E30="Phones",2000,1500))</x:f>
        <x:v>10000</x:v>
      </x:c>
      <x:c r="H30" s="29" t="n">
        <x:f>F30*G30</x:f>
        <x:v>160000</x:v>
      </x:c>
      <x:c r="I30" s="33" t="n">
        <x:f>IF(E30="Laptops",70%,IF(E30="Phones",65%,60%))</x:f>
        <x:v>0.7</x:v>
      </x:c>
      <x:c r="J30" s="29" t="n">
        <x:f>H30*I30</x:f>
        <x:v>112000</x:v>
      </x:c>
      <x:c r="K30" s="33" t="n">
        <x:f>IF(OR(C30="East",C30="West"),5%,2%)</x:f>
        <x:v>0.02</x:v>
      </x:c>
      <x:c r="L30" s="29" t="n">
        <x:f>J30*K30</x:f>
        <x:v>2240</x:v>
      </x:c>
      <x:c r="M30" s="29" t="n">
        <x:f>J30+L30</x:f>
        <x:v>114240</x:v>
      </x:c>
      <x:c r="N30" s="29" t="n">
        <x:f>H30-M30</x:f>
        <x:v>45760</x:v>
      </x:c>
      <x:c r="O30" s="37" t="n">
        <x:f>IFERROR(N30/H30,0)</x:f>
        <x:v>0.286</x:v>
      </x:c>
      <x:c r="P30" s="17" t="str">
        <x:f>IF(F30&gt;20,"Bulk","Standard")</x:f>
        <x:v>Standard</x:v>
      </x:c>
    </x:row>
    <x:row r="31">
      <x:c r="A31" s="15" t="n">
        <x:v>5030</x:v>
      </x:c>
      <x:c r="B31" s="16" t="str">
        <x:v>Jun</x:v>
      </x:c>
      <x:c r="C31" s="16" t="str">
        <x:v>South</x:v>
      </x:c>
      <x:c r="D31" s="16" t="str">
        <x:v>Corporate</x:v>
      </x:c>
      <x:c r="E31" s="16" t="str">
        <x:v>Phones</x:v>
      </x:c>
      <x:c r="F31" s="16" t="n">
        <x:v>25</x:v>
      </x:c>
      <x:c r="G31" s="29" t="n">
        <x:f>IF(E31="Laptops",10000,IF(E31="Phones",2000,1500))</x:f>
        <x:v>2000</x:v>
      </x:c>
      <x:c r="H31" s="29" t="n">
        <x:f>F31*G31</x:f>
        <x:v>50000</x:v>
      </x:c>
      <x:c r="I31" s="33" t="n">
        <x:f>IF(E31="Laptops",70%,IF(E31="Phones",65%,60%))</x:f>
        <x:v>0.65</x:v>
      </x:c>
      <x:c r="J31" s="29" t="n">
        <x:f>H31*I31</x:f>
        <x:v>32500</x:v>
      </x:c>
      <x:c r="K31" s="33" t="n">
        <x:f>IF(OR(C31="East",C31="West"),5%,2%)</x:f>
        <x:v>0.02</x:v>
      </x:c>
      <x:c r="L31" s="29" t="n">
        <x:f>J31*K31</x:f>
        <x:v>650</x:v>
      </x:c>
      <x:c r="M31" s="29" t="n">
        <x:f>J31+L31</x:f>
        <x:v>33150</x:v>
      </x:c>
      <x:c r="N31" s="29" t="n">
        <x:f>H31-M31</x:f>
        <x:v>16850</x:v>
      </x:c>
      <x:c r="O31" s="37" t="n">
        <x:f>IFERROR(N31/H31,0)</x:f>
        <x:v>0.337</x:v>
      </x:c>
      <x:c r="P31" s="17" t="str">
        <x:f>IF(F31&gt;20,"Bulk","Standard")</x:f>
        <x:v>Bulk</x:v>
      </x:c>
    </x:row>
    <x:row r="32">
      <x:c r="A32" s="15" t="n">
        <x:v>5031</x:v>
      </x:c>
      <x:c r="B32" s="16" t="str">
        <x:v>Jul</x:v>
      </x:c>
      <x:c r="C32" s="16" t="str">
        <x:v>East</x:v>
      </x:c>
      <x:c r="D32" s="16" t="str">
        <x:v>Retail</x:v>
      </x:c>
      <x:c r="E32" s="16" t="str">
        <x:v>Tablets</x:v>
      </x:c>
      <x:c r="F32" s="16" t="n">
        <x:v>22</x:v>
      </x:c>
      <x:c r="G32" s="29" t="n">
        <x:f>IF(E32="Laptops",10000,IF(E32="Phones",2000,1500))</x:f>
        <x:v>1500</x:v>
      </x:c>
      <x:c r="H32" s="29" t="n">
        <x:f>F32*G32</x:f>
        <x:v>33000</x:v>
      </x:c>
      <x:c r="I32" s="33" t="n">
        <x:f>IF(E32="Laptops",70%,IF(E32="Phones",65%,60%))</x:f>
        <x:v>0.6</x:v>
      </x:c>
      <x:c r="J32" s="29" t="n">
        <x:f>H32*I32</x:f>
        <x:v>19800</x:v>
      </x:c>
      <x:c r="K32" s="33" t="n">
        <x:f>IF(OR(C32="East",C32="West"),5%,2%)</x:f>
        <x:v>0.05</x:v>
      </x:c>
      <x:c r="L32" s="29" t="n">
        <x:f>J32*K32</x:f>
        <x:v>990</x:v>
      </x:c>
      <x:c r="M32" s="29" t="n">
        <x:f>J32+L32</x:f>
        <x:v>20790</x:v>
      </x:c>
      <x:c r="N32" s="29" t="n">
        <x:f>H32-M32</x:f>
        <x:v>12210</x:v>
      </x:c>
      <x:c r="O32" s="37" t="n">
        <x:f>IFERROR(N32/H32,0)</x:f>
        <x:v>0.37</x:v>
      </x:c>
      <x:c r="P32" s="17" t="str">
        <x:f>IF(F32&gt;20,"Bulk","Standard")</x:f>
        <x:v>Bulk</x:v>
      </x:c>
    </x:row>
    <x:row r="33">
      <x:c r="A33" s="15" t="n">
        <x:v>5032</x:v>
      </x:c>
      <x:c r="B33" s="16" t="str">
        <x:v>Jul</x:v>
      </x:c>
      <x:c r="C33" s="16" t="str">
        <x:v>West</x:v>
      </x:c>
      <x:c r="D33" s="16" t="str">
        <x:v>Corporate</x:v>
      </x:c>
      <x:c r="E33" s="16" t="str">
        <x:v>Laptops</x:v>
      </x:c>
      <x:c r="F33" s="16" t="n">
        <x:v>11</x:v>
      </x:c>
      <x:c r="G33" s="29" t="n">
        <x:f>IF(E33="Laptops",10000,IF(E33="Phones",2000,1500))</x:f>
        <x:v>10000</x:v>
      </x:c>
      <x:c r="H33" s="29" t="n">
        <x:f>F33*G33</x:f>
        <x:v>110000</x:v>
      </x:c>
      <x:c r="I33" s="33" t="n">
        <x:f>IF(E33="Laptops",70%,IF(E33="Phones",65%,60%))</x:f>
        <x:v>0.7</x:v>
      </x:c>
      <x:c r="J33" s="29" t="n">
        <x:f>H33*I33</x:f>
        <x:v>77000</x:v>
      </x:c>
      <x:c r="K33" s="33" t="n">
        <x:f>IF(OR(C33="East",C33="West"),5%,2%)</x:f>
        <x:v>0.05</x:v>
      </x:c>
      <x:c r="L33" s="29" t="n">
        <x:f>J33*K33</x:f>
        <x:v>3850</x:v>
      </x:c>
      <x:c r="M33" s="29" t="n">
        <x:f>J33+L33</x:f>
        <x:v>80850</x:v>
      </x:c>
      <x:c r="N33" s="29" t="n">
        <x:f>H33-M33</x:f>
        <x:v>29150</x:v>
      </x:c>
      <x:c r="O33" s="37" t="n">
        <x:f>IFERROR(N33/H33,0)</x:f>
        <x:v>0.265</x:v>
      </x:c>
      <x:c r="P33" s="17" t="str">
        <x:f>IF(F33&gt;20,"Bulk","Standard")</x:f>
        <x:v>Standard</x:v>
      </x:c>
    </x:row>
    <x:row r="34">
      <x:c r="A34" s="15" t="n">
        <x:v>5033</x:v>
      </x:c>
      <x:c r="B34" s="16" t="str">
        <x:v>Jul</x:v>
      </x:c>
      <x:c r="C34" s="16" t="str">
        <x:v>North</x:v>
      </x:c>
      <x:c r="D34" s="16" t="str">
        <x:v>Retail</x:v>
      </x:c>
      <x:c r="E34" s="16" t="str">
        <x:v>Phones</x:v>
      </x:c>
      <x:c r="F34" s="16" t="n">
        <x:v>65</x:v>
      </x:c>
      <x:c r="G34" s="29" t="n">
        <x:f>IF(E34="Laptops",10000,IF(E34="Phones",2000,1500))</x:f>
        <x:v>2000</x:v>
      </x:c>
      <x:c r="H34" s="29" t="n">
        <x:f>F34*G34</x:f>
        <x:v>130000</x:v>
      </x:c>
      <x:c r="I34" s="33" t="n">
        <x:f>IF(E34="Laptops",70%,IF(E34="Phones",65%,60%))</x:f>
        <x:v>0.65</x:v>
      </x:c>
      <x:c r="J34" s="29" t="n">
        <x:f>H34*I34</x:f>
        <x:v>84500</x:v>
      </x:c>
      <x:c r="K34" s="33" t="n">
        <x:f>IF(OR(C34="East",C34="West"),5%,2%)</x:f>
        <x:v>0.02</x:v>
      </x:c>
      <x:c r="L34" s="29" t="n">
        <x:f>J34*K34</x:f>
        <x:v>1690</x:v>
      </x:c>
      <x:c r="M34" s="29" t="n">
        <x:f>J34+L34</x:f>
        <x:v>86190</x:v>
      </x:c>
      <x:c r="N34" s="29" t="n">
        <x:f>H34-M34</x:f>
        <x:v>43810</x:v>
      </x:c>
      <x:c r="O34" s="37" t="n">
        <x:f>IFERROR(N34/H34,0)</x:f>
        <x:v>0.337</x:v>
      </x:c>
      <x:c r="P34" s="17" t="str">
        <x:f>IF(F34&gt;20,"Bulk","Standard")</x:f>
        <x:v>Bulk</x:v>
      </x:c>
    </x:row>
    <x:row r="35">
      <x:c r="A35" s="15" t="n">
        <x:v>5034</x:v>
      </x:c>
      <x:c r="B35" s="16" t="str">
        <x:v>Jul</x:v>
      </x:c>
      <x:c r="C35" s="16" t="str">
        <x:v>South</x:v>
      </x:c>
      <x:c r="D35" s="16" t="str">
        <x:v>Corporate</x:v>
      </x:c>
      <x:c r="E35" s="16" t="str">
        <x:v>Tablets</x:v>
      </x:c>
      <x:c r="F35" s="16" t="n">
        <x:v>19</x:v>
      </x:c>
      <x:c r="G35" s="29" t="n">
        <x:f>IF(E35="Laptops",10000,IF(E35="Phones",2000,1500))</x:f>
        <x:v>1500</x:v>
      </x:c>
      <x:c r="H35" s="29" t="n">
        <x:f>F35*G35</x:f>
        <x:v>28500</x:v>
      </x:c>
      <x:c r="I35" s="33" t="n">
        <x:f>IF(E35="Laptops",70%,IF(E35="Phones",65%,60%))</x:f>
        <x:v>0.6</x:v>
      </x:c>
      <x:c r="J35" s="29" t="n">
        <x:f>H35*I35</x:f>
        <x:v>17100</x:v>
      </x:c>
      <x:c r="K35" s="33" t="n">
        <x:f>IF(OR(C35="East",C35="West"),5%,2%)</x:f>
        <x:v>0.02</x:v>
      </x:c>
      <x:c r="L35" s="29" t="n">
        <x:f>J35*K35</x:f>
        <x:v>342</x:v>
      </x:c>
      <x:c r="M35" s="29" t="n">
        <x:f>J35+L35</x:f>
        <x:v>17442</x:v>
      </x:c>
      <x:c r="N35" s="29" t="n">
        <x:f>H35-M35</x:f>
        <x:v>11058</x:v>
      </x:c>
      <x:c r="O35" s="37" t="n">
        <x:f>IFERROR(N35/H35,0)</x:f>
        <x:v>0.388</x:v>
      </x:c>
      <x:c r="P35" s="17" t="str">
        <x:f>IF(F35&gt;20,"Bulk","Standard")</x:f>
        <x:v>Standard</x:v>
      </x:c>
    </x:row>
    <x:row r="36">
      <x:c r="A36" s="15" t="n">
        <x:v>5035</x:v>
      </x:c>
      <x:c r="B36" s="16" t="str">
        <x:v>Jul</x:v>
      </x:c>
      <x:c r="C36" s="16" t="str">
        <x:v>East</x:v>
      </x:c>
      <x:c r="D36" s="16" t="str">
        <x:v>Retail</x:v>
      </x:c>
      <x:c r="E36" s="16" t="str">
        <x:v>Laptops</x:v>
      </x:c>
      <x:c r="F36" s="16" t="n">
        <x:v>13</x:v>
      </x:c>
      <x:c r="G36" s="29" t="n">
        <x:f>IF(E36="Laptops",10000,IF(E36="Phones",2000,1500))</x:f>
        <x:v>10000</x:v>
      </x:c>
      <x:c r="H36" s="29" t="n">
        <x:f>F36*G36</x:f>
        <x:v>130000</x:v>
      </x:c>
      <x:c r="I36" s="33" t="n">
        <x:f>IF(E36="Laptops",70%,IF(E36="Phones",65%,60%))</x:f>
        <x:v>0.7</x:v>
      </x:c>
      <x:c r="J36" s="29" t="n">
        <x:f>H36*I36</x:f>
        <x:v>91000</x:v>
      </x:c>
      <x:c r="K36" s="33" t="n">
        <x:f>IF(OR(C36="East",C36="West"),5%,2%)</x:f>
        <x:v>0.05</x:v>
      </x:c>
      <x:c r="L36" s="29" t="n">
        <x:f>J36*K36</x:f>
        <x:v>4550</x:v>
      </x:c>
      <x:c r="M36" s="29" t="n">
        <x:f>J36+L36</x:f>
        <x:v>95550</x:v>
      </x:c>
      <x:c r="N36" s="29" t="n">
        <x:f>H36-M36</x:f>
        <x:v>34450</x:v>
      </x:c>
      <x:c r="O36" s="37" t="n">
        <x:f>IFERROR(N36/H36,0)</x:f>
        <x:v>0.265</x:v>
      </x:c>
      <x:c r="P36" s="17" t="str">
        <x:f>IF(F36&gt;20,"Bulk","Standard")</x:f>
        <x:v>Standard</x:v>
      </x:c>
    </x:row>
    <x:row r="37">
      <x:c r="A37" s="15" t="n">
        <x:v>5036</x:v>
      </x:c>
      <x:c r="B37" s="16" t="str">
        <x:v>Aug</x:v>
      </x:c>
      <x:c r="C37" s="16" t="str">
        <x:v>West</x:v>
      </x:c>
      <x:c r="D37" s="16" t="str">
        <x:v>Corporate</x:v>
      </x:c>
      <x:c r="E37" s="16" t="str">
        <x:v>Phones</x:v>
      </x:c>
      <x:c r="F37" s="16" t="n">
        <x:v>38</x:v>
      </x:c>
      <x:c r="G37" s="29" t="n">
        <x:f>IF(E37="Laptops",10000,IF(E37="Phones",2000,1500))</x:f>
        <x:v>2000</x:v>
      </x:c>
      <x:c r="H37" s="29" t="n">
        <x:f>F37*G37</x:f>
        <x:v>76000</x:v>
      </x:c>
      <x:c r="I37" s="33" t="n">
        <x:f>IF(E37="Laptops",70%,IF(E37="Phones",65%,60%))</x:f>
        <x:v>0.65</x:v>
      </x:c>
      <x:c r="J37" s="29" t="n">
        <x:f>H37*I37</x:f>
        <x:v>49400</x:v>
      </x:c>
      <x:c r="K37" s="33" t="n">
        <x:f>IF(OR(C37="East",C37="West"),5%,2%)</x:f>
        <x:v>0.05</x:v>
      </x:c>
      <x:c r="L37" s="29" t="n">
        <x:f>J37*K37</x:f>
        <x:v>2470</x:v>
      </x:c>
      <x:c r="M37" s="29" t="n">
        <x:f>J37+L37</x:f>
        <x:v>51870</x:v>
      </x:c>
      <x:c r="N37" s="29" t="n">
        <x:f>H37-M37</x:f>
        <x:v>24130</x:v>
      </x:c>
      <x:c r="O37" s="37" t="n">
        <x:f>IFERROR(N37/H37,0)</x:f>
        <x:v>0.3175</x:v>
      </x:c>
      <x:c r="P37" s="17" t="str">
        <x:f>IF(F37&gt;20,"Bulk","Standard")</x:f>
        <x:v>Bulk</x:v>
      </x:c>
    </x:row>
    <x:row r="38">
      <x:c r="A38" s="15" t="n">
        <x:v>5037</x:v>
      </x:c>
      <x:c r="B38" s="16" t="str">
        <x:v>Aug</x:v>
      </x:c>
      <x:c r="C38" s="16" t="str">
        <x:v>North</x:v>
      </x:c>
      <x:c r="D38" s="16" t="str">
        <x:v>Retail</x:v>
      </x:c>
      <x:c r="E38" s="16" t="str">
        <x:v>Tablets</x:v>
      </x:c>
      <x:c r="F38" s="16" t="n">
        <x:v>50</x:v>
      </x:c>
      <x:c r="G38" s="29" t="n">
        <x:f>IF(E38="Laptops",10000,IF(E38="Phones",2000,1500))</x:f>
        <x:v>1500</x:v>
      </x:c>
      <x:c r="H38" s="29" t="n">
        <x:f>F38*G38</x:f>
        <x:v>75000</x:v>
      </x:c>
      <x:c r="I38" s="33" t="n">
        <x:f>IF(E38="Laptops",70%,IF(E38="Phones",65%,60%))</x:f>
        <x:v>0.6</x:v>
      </x:c>
      <x:c r="J38" s="29" t="n">
        <x:f>H38*I38</x:f>
        <x:v>45000</x:v>
      </x:c>
      <x:c r="K38" s="33" t="n">
        <x:f>IF(OR(C38="East",C38="West"),5%,2%)</x:f>
        <x:v>0.02</x:v>
      </x:c>
      <x:c r="L38" s="29" t="n">
        <x:f>J38*K38</x:f>
        <x:v>900</x:v>
      </x:c>
      <x:c r="M38" s="29" t="n">
        <x:f>J38+L38</x:f>
        <x:v>45900</x:v>
      </x:c>
      <x:c r="N38" s="29" t="n">
        <x:f>H38-M38</x:f>
        <x:v>29100</x:v>
      </x:c>
      <x:c r="O38" s="37" t="n">
        <x:f>IFERROR(N38/H38,0)</x:f>
        <x:v>0.388</x:v>
      </x:c>
      <x:c r="P38" s="17" t="str">
        <x:f>IF(F38&gt;20,"Bulk","Standard")</x:f>
        <x:v>Bulk</x:v>
      </x:c>
    </x:row>
    <x:row r="39">
      <x:c r="A39" s="15" t="n">
        <x:v>5038</x:v>
      </x:c>
      <x:c r="B39" s="16" t="str">
        <x:v>Aug</x:v>
      </x:c>
      <x:c r="C39" s="16" t="str">
        <x:v>South</x:v>
      </x:c>
      <x:c r="D39" s="16" t="str">
        <x:v>Corporate</x:v>
      </x:c>
      <x:c r="E39" s="16" t="str">
        <x:v>Laptops</x:v>
      </x:c>
      <x:c r="F39" s="16" t="n">
        <x:v>24</x:v>
      </x:c>
      <x:c r="G39" s="29" t="n">
        <x:f>IF(E39="Laptops",10000,IF(E39="Phones",2000,1500))</x:f>
        <x:v>10000</x:v>
      </x:c>
      <x:c r="H39" s="29" t="n">
        <x:f>F39*G39</x:f>
        <x:v>240000</x:v>
      </x:c>
      <x:c r="I39" s="33" t="n">
        <x:f>IF(E39="Laptops",70%,IF(E39="Phones",65%,60%))</x:f>
        <x:v>0.7</x:v>
      </x:c>
      <x:c r="J39" s="29" t="n">
        <x:f>H39*I39</x:f>
        <x:v>168000</x:v>
      </x:c>
      <x:c r="K39" s="33" t="n">
        <x:f>IF(OR(C39="East",C39="West"),5%,2%)</x:f>
        <x:v>0.02</x:v>
      </x:c>
      <x:c r="L39" s="29" t="n">
        <x:f>J39*K39</x:f>
        <x:v>3360</x:v>
      </x:c>
      <x:c r="M39" s="29" t="n">
        <x:f>J39+L39</x:f>
        <x:v>171360</x:v>
      </x:c>
      <x:c r="N39" s="29" t="n">
        <x:f>H39-M39</x:f>
        <x:v>68640</x:v>
      </x:c>
      <x:c r="O39" s="37" t="n">
        <x:f>IFERROR(N39/H39,0)</x:f>
        <x:v>0.286</x:v>
      </x:c>
      <x:c r="P39" s="17" t="str">
        <x:f>IF(F39&gt;20,"Bulk","Standard")</x:f>
        <x:v>Bulk</x:v>
      </x:c>
    </x:row>
    <x:row r="40">
      <x:c r="A40" s="15" t="n">
        <x:v>5039</x:v>
      </x:c>
      <x:c r="B40" s="16" t="str">
        <x:v>Aug</x:v>
      </x:c>
      <x:c r="C40" s="16" t="str">
        <x:v>East</x:v>
      </x:c>
      <x:c r="D40" s="16" t="str">
        <x:v>Retail</x:v>
      </x:c>
      <x:c r="E40" s="16" t="str">
        <x:v>Phones</x:v>
      </x:c>
      <x:c r="F40" s="16" t="n">
        <x:v>52</x:v>
      </x:c>
      <x:c r="G40" s="29" t="n">
        <x:f>IF(E40="Laptops",10000,IF(E40="Phones",2000,1500))</x:f>
        <x:v>2000</x:v>
      </x:c>
      <x:c r="H40" s="29" t="n">
        <x:f>F40*G40</x:f>
        <x:v>104000</x:v>
      </x:c>
      <x:c r="I40" s="33" t="n">
        <x:f>IF(E40="Laptops",70%,IF(E40="Phones",65%,60%))</x:f>
        <x:v>0.65</x:v>
      </x:c>
      <x:c r="J40" s="29" t="n">
        <x:f>H40*I40</x:f>
        <x:v>67600</x:v>
      </x:c>
      <x:c r="K40" s="33" t="n">
        <x:f>IF(OR(C40="East",C40="West"),5%,2%)</x:f>
        <x:v>0.05</x:v>
      </x:c>
      <x:c r="L40" s="29" t="n">
        <x:f>J40*K40</x:f>
        <x:v>3380</x:v>
      </x:c>
      <x:c r="M40" s="29" t="n">
        <x:f>J40+L40</x:f>
        <x:v>70980</x:v>
      </x:c>
      <x:c r="N40" s="29" t="n">
        <x:f>H40-M40</x:f>
        <x:v>33020</x:v>
      </x:c>
      <x:c r="O40" s="37" t="n">
        <x:f>IFERROR(N40/H40,0)</x:f>
        <x:v>0.3175</x:v>
      </x:c>
      <x:c r="P40" s="17" t="str">
        <x:f>IF(F40&gt;20,"Bulk","Standard")</x:f>
        <x:v>Bulk</x:v>
      </x:c>
    </x:row>
    <x:row r="41">
      <x:c r="A41" s="18" t="n">
        <x:v>5040</x:v>
      </x:c>
      <x:c r="B41" s="19" t="str">
        <x:v>Aug</x:v>
      </x:c>
      <x:c r="C41" s="19" t="str">
        <x:v>West</x:v>
      </x:c>
      <x:c r="D41" s="19" t="str">
        <x:v>Corporate</x:v>
      </x:c>
      <x:c r="E41" s="19" t="str">
        <x:v>Tablets</x:v>
      </x:c>
      <x:c r="F41" s="19" t="n">
        <x:v>17</x:v>
      </x:c>
      <x:c r="G41" s="30" t="n">
        <x:f>IF(E41="Laptops",10000,IF(E41="Phones",2000,1500))</x:f>
        <x:v>1500</x:v>
      </x:c>
      <x:c r="H41" s="30" t="n">
        <x:f>F41*G41</x:f>
        <x:v>25500</x:v>
      </x:c>
      <x:c r="I41" s="34" t="n">
        <x:f>IF(E41="Laptops",70%,IF(E41="Phones",65%,60%))</x:f>
        <x:v>0.6</x:v>
      </x:c>
      <x:c r="J41" s="30" t="n">
        <x:f>H41*I41</x:f>
        <x:v>15300</x:v>
      </x:c>
      <x:c r="K41" s="34" t="n">
        <x:f>IF(OR(C41="East",C41="West"),5%,2%)</x:f>
        <x:v>0.05</x:v>
      </x:c>
      <x:c r="L41" s="30" t="n">
        <x:f>J41*K41</x:f>
        <x:v>765</x:v>
      </x:c>
      <x:c r="M41" s="30" t="n">
        <x:f>J41+L41</x:f>
        <x:v>16065</x:v>
      </x:c>
      <x:c r="N41" s="30" t="n">
        <x:f>H41-M41</x:f>
        <x:v>9435</x:v>
      </x:c>
      <x:c r="O41" s="38" t="n">
        <x:f>IFERROR(N41/H41,0)</x:f>
        <x:v>0.37</x:v>
      </x:c>
      <x:c r="P41" s="20" t="str">
        <x:f>IF(F41&gt;20,"Bulk","Standard")</x:f>
        <x:v>Standard</x:v>
      </x:c>
    </x:row>
  </x:sheetData>
  <x:pageMargins left="0.7" right="0.7" top="0.75" bottom="0.75" header="0.3" footer="0.3"/>
  <x:tableParts count="1">
    <x:tablePart xmlns:r="http://schemas.openxmlformats.org/officeDocument/2006/relationships" r:id="R1b479fd47a4541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43" t="str">
        <x:v>Sales Performance Analysis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</x:row>
    <x:row r="4">
      <x:c r="A4" s="12" t="str">
        <x:v>KPI</x:v>
      </x:c>
      <x:c r="B4" s="14" t="str">
        <x:v>Value</x:v>
      </x:c>
      <x:c r="G4" s="12" t="str">
        <x:v>Region</x:v>
      </x:c>
      <x:c r="H4" s="13" t="str">
        <x:v>Revenue</x:v>
      </x:c>
      <x:c r="I4" s="13" t="str">
        <x:v>Total Cost</x:v>
      </x:c>
      <x:c r="J4" s="13" t="str">
        <x:v>Profit</x:v>
      </x:c>
      <x:c r="K4" s="14" t="str">
        <x:v>Margin</x:v>
      </x:c>
    </x:row>
    <x:row r="5">
      <x:c r="A5" s="15" t="str">
        <x:v>Total Revenue</x:v>
      </x:c>
      <x:c r="B5" s="47" t="n">
        <x:f>SUM('Raw Data'!H2:H41)</x:f>
        <x:v>3633500</x:v>
      </x:c>
      <x:c r="G5" s="15" t="str">
        <x:v>North</x:v>
      </x:c>
      <x:c r="H5" s="29" t="n">
        <x:f>SUMIFS('Raw Data'!$H$2:$H$41,'Raw Data'!$C$2:$C$41,G5)</x:f>
        <x:v>1096000</x:v>
      </x:c>
      <x:c r="I5" s="29" t="n">
        <x:f>SUMIFS('Raw Data'!$M$2:$M$41,'Raw Data'!$C$2:$C$41,G5)</x:f>
        <x:v>752658</x:v>
      </x:c>
      <x:c r="J5" s="29" t="n">
        <x:f>H5-I5</x:f>
        <x:v>343342</x:v>
      </x:c>
      <x:c r="K5" s="53" t="n">
        <x:f>IFERROR(J5/H5,0)</x:f>
        <x:v>0.3132682481751825</x:v>
      </x:c>
    </x:row>
    <x:row r="6">
      <x:c r="A6" s="15" t="str">
        <x:v>Total Cost</x:v>
      </x:c>
      <x:c r="B6" s="47" t="n">
        <x:f>SUM('Raw Data'!M2:M41)</x:f>
        <x:v>2518938</x:v>
      </x:c>
      <x:c r="G6" s="15" t="str">
        <x:v>South</x:v>
      </x:c>
      <x:c r="H6" s="29" t="n">
        <x:f>SUMIFS('Raw Data'!$H$2:$H$41,'Raw Data'!$C$2:$C$41,G6)</x:f>
        <x:v>940500</x:v>
      </x:c>
      <x:c r="I6" s="29" t="n">
        <x:f>SUMIFS('Raw Data'!$M$2:$M$41,'Raw Data'!$C$2:$C$41,G6)</x:f>
        <x:v>654330</x:v>
      </x:c>
      <x:c r="J6" s="29" t="n">
        <x:f>H6-I6</x:f>
        <x:v>286170</x:v>
      </x:c>
      <x:c r="K6" s="53" t="n">
        <x:f>IFERROR(J6/H6,0)</x:f>
        <x:v>0.30427432216905903</x:v>
      </x:c>
    </x:row>
    <x:row r="7">
      <x:c r="A7" s="15" t="str">
        <x:v>Total Profit</x:v>
      </x:c>
      <x:c r="B7" s="47" t="n">
        <x:f>SUM('Raw Data'!N2:N41)</x:f>
        <x:v>1114562</x:v>
      </x:c>
      <x:c r="G7" s="15" t="str">
        <x:v>East</x:v>
      </x:c>
      <x:c r="H7" s="29" t="n">
        <x:f>SUMIFS('Raw Data'!$H$2:$H$41,'Raw Data'!$C$2:$C$41,G7)</x:f>
        <x:v>780000</x:v>
      </x:c>
      <x:c r="I7" s="29" t="n">
        <x:f>SUMIFS('Raw Data'!$M$2:$M$41,'Raw Data'!$C$2:$C$41,G7)</x:f>
        <x:v>534975</x:v>
      </x:c>
      <x:c r="J7" s="29" t="n">
        <x:f>H7-I7</x:f>
        <x:v>245025</x:v>
      </x:c>
      <x:c r="K7" s="53" t="n">
        <x:f>IFERROR(J7/H7,0)</x:f>
        <x:v>0.3141346153846154</x:v>
      </x:c>
    </x:row>
    <x:row r="8">
      <x:c r="A8" s="15" t="str">
        <x:v>Total Orders</x:v>
      </x:c>
      <x:c r="B8" s="49" t="n">
        <x:f>COUNTA('Raw Data'!A2:A41)</x:f>
        <x:v>40</x:v>
      </x:c>
      <x:c r="G8" s="18" t="str">
        <x:v>West</x:v>
      </x:c>
      <x:c r="H8" s="30" t="n">
        <x:f>SUMIFS('Raw Data'!$H$2:$H$41,'Raw Data'!$C$2:$C$41,G8)</x:f>
        <x:v>817000</x:v>
      </x:c>
      <x:c r="I8" s="30" t="n">
        <x:f>SUMIFS('Raw Data'!$M$2:$M$41,'Raw Data'!$C$2:$C$41,G8)</x:f>
        <x:v>576975</x:v>
      </x:c>
      <x:c r="J8" s="30" t="n">
        <x:f>H8-I8</x:f>
        <x:v>240025</x:v>
      </x:c>
      <x:c r="K8" s="54" t="n">
        <x:f>IFERROR(J8/H8,0)</x:f>
        <x:v>0.29378824969400247</x:v>
      </x:c>
    </x:row>
    <x:row r="9">
      <x:c r="A9" s="18" t="str">
        <x:v>Units Sold</x:v>
      </x:c>
      <x:c r="B9" s="50" t="n">
        <x:f>SUM('Raw Data'!F2:F41)</x:f>
        <x:v>1097</x:v>
      </x:c>
    </x:row>
    <x:row r="11">
      <x:c r="A11" s="12" t="str">
        <x:v>Month</x:v>
      </x:c>
      <x:c r="B11" s="13" t="str">
        <x:v>Revenue</x:v>
      </x:c>
      <x:c r="C11" s="13" t="str">
        <x:v>Total Cost</x:v>
      </x:c>
      <x:c r="D11" s="13" t="str">
        <x:v>Profit</x:v>
      </x:c>
      <x:c r="E11" s="14" t="str">
        <x:v>Orders</x:v>
      </x:c>
      <x:c r="G11" s="12" t="str">
        <x:v>Product</x:v>
      </x:c>
      <x:c r="H11" s="13" t="str">
        <x:v>Revenue</x:v>
      </x:c>
      <x:c r="I11" s="13" t="str">
        <x:v>Units</x:v>
      </x:c>
      <x:c r="J11" s="13" t="str">
        <x:v>Profit</x:v>
      </x:c>
      <x:c r="K11" s="14" t="str">
        <x:v>Margin</x:v>
      </x:c>
    </x:row>
    <x:row r="12">
      <x:c r="A12" s="15" t="str">
        <x:v>Jan</x:v>
      </x:c>
      <x:c r="B12" s="29" t="n">
        <x:f>SUMIFS('Raw Data'!$H$2:$H$41,'Raw Data'!$B$2:$B$41,A12)</x:f>
        <x:v>407500</x:v>
      </x:c>
      <x:c r="C12" s="29" t="n">
        <x:f>SUMIFS('Raw Data'!$M$2:$M$41,'Raw Data'!$B$2:$B$41,A12)</x:f>
        <x:v>282345</x:v>
      </x:c>
      <x:c r="D12" s="29" t="n">
        <x:f>B12-C12</x:f>
        <x:v>125155</x:v>
      </x:c>
      <x:c r="E12" s="17" t="n">
        <x:f>COUNTIF('Raw Data'!$B$2:$B$41,A12)</x:f>
        <x:v>5</x:v>
      </x:c>
      <x:c r="G12" s="15" t="str">
        <x:v>Laptops</x:v>
      </x:c>
      <x:c r="H12" s="29" t="n">
        <x:f>SUMIFS('Raw Data'!$H$2:$H$41,'Raw Data'!$E$2:$E$41,G12)</x:f>
        <x:v>1990000</x:v>
      </x:c>
      <x:c r="I12" s="16" t="n">
        <x:f>SUMIFS('Raw Data'!$F$2:$F$41,'Raw Data'!$E$2:$E$41,G12)</x:f>
        <x:v>199</x:v>
      </x:c>
      <x:c r="J12" s="29" t="n">
        <x:f>SUMIFS('Raw Data'!$N$2:$N$41,'Raw Data'!$E$2:$E$41,G12)</x:f>
        <x:v>554230</x:v>
      </x:c>
      <x:c r="K12" s="53" t="n">
        <x:f>IFERROR(J12/H12,0)</x:f>
        <x:v>0.2785075376884422</x:v>
      </x:c>
    </x:row>
    <x:row r="13">
      <x:c r="A13" s="15" t="str">
        <x:v>Feb</x:v>
      </x:c>
      <x:c r="B13" s="29" t="n">
        <x:f>SUMIFS('Raw Data'!$H$2:$H$41,'Raw Data'!$B$2:$B$41,A13)</x:f>
        <x:v>404000</x:v>
      </x:c>
      <x:c r="C13" s="29" t="n">
        <x:f>SUMIFS('Raw Data'!$M$2:$M$41,'Raw Data'!$B$2:$B$41,A13)</x:f>
        <x:v>280227</x:v>
      </x:c>
      <x:c r="D13" s="29" t="n">
        <x:f>B13-C13</x:f>
        <x:v>123773</x:v>
      </x:c>
      <x:c r="E13" s="17" t="n">
        <x:f>COUNTIF('Raw Data'!$B$2:$B$41,A13)</x:f>
        <x:v>5</x:v>
      </x:c>
      <x:c r="G13" s="15" t="str">
        <x:v>Phones</x:v>
      </x:c>
      <x:c r="H13" s="29" t="n">
        <x:f>SUMIFS('Raw Data'!$H$2:$H$41,'Raw Data'!$E$2:$E$41,G13)</x:f>
        <x:v>1186000</x:v>
      </x:c>
      <x:c r="I13" s="16" t="n">
        <x:f>SUMIFS('Raw Data'!$F$2:$F$41,'Raw Data'!$E$2:$E$41,G13)</x:f>
        <x:v>593</x:v>
      </x:c>
      <x:c r="J13" s="29" t="n">
        <x:f>SUMIFS('Raw Data'!$N$2:$N$41,'Raw Data'!$E$2:$E$41,G13)</x:f>
        <x:v>388060</x:v>
      </x:c>
      <x:c r="K13" s="53" t="n">
        <x:f>IFERROR(J13/H13,0)</x:f>
        <x:v>0.32720067453625634</x:v>
      </x:c>
    </x:row>
    <x:row r="14">
      <x:c r="A14" s="15" t="str">
        <x:v>Mar</x:v>
      </x:c>
      <x:c r="B14" s="29" t="n">
        <x:f>SUMIFS('Raw Data'!$H$2:$H$41,'Raw Data'!$B$2:$B$41,A14)</x:f>
        <x:v>420500</x:v>
      </x:c>
      <x:c r="C14" s="29" t="n">
        <x:f>SUMIFS('Raw Data'!$M$2:$M$41,'Raw Data'!$B$2:$B$41,A14)</x:f>
        <x:v>294141</x:v>
      </x:c>
      <x:c r="D14" s="29" t="n">
        <x:f>B14-C14</x:f>
        <x:v>126359</x:v>
      </x:c>
      <x:c r="E14" s="17" t="n">
        <x:f>COUNTIF('Raw Data'!$B$2:$B$41,A14)</x:f>
        <x:v>5</x:v>
      </x:c>
      <x:c r="G14" s="18" t="str">
        <x:v>Tablets</x:v>
      </x:c>
      <x:c r="H14" s="30" t="n">
        <x:f>SUMIFS('Raw Data'!$H$2:$H$41,'Raw Data'!$E$2:$E$41,G14)</x:f>
        <x:v>457500</x:v>
      </x:c>
      <x:c r="I14" s="19" t="n">
        <x:f>SUMIFS('Raw Data'!$F$2:$F$41,'Raw Data'!$E$2:$E$41,G14)</x:f>
        <x:v>305</x:v>
      </x:c>
      <x:c r="J14" s="30" t="n">
        <x:f>SUMIFS('Raw Data'!$N$2:$N$41,'Raw Data'!$E$2:$E$41,G14)</x:f>
        <x:v>172272</x:v>
      </x:c>
      <x:c r="K14" s="54" t="n">
        <x:f>IFERROR(J14/H14,0)</x:f>
        <x:v>0.37655081967213117</x:v>
      </x:c>
    </x:row>
    <x:row r="15">
      <x:c r="A15" s="15" t="str">
        <x:v>Apr</x:v>
      </x:c>
      <x:c r="B15" s="29" t="n">
        <x:f>SUMIFS('Raw Data'!$H$2:$H$41,'Raw Data'!$B$2:$B$41,A15)</x:f>
        <x:v>477500</x:v>
      </x:c>
      <x:c r="C15" s="29" t="n">
        <x:f>SUMIFS('Raw Data'!$M$2:$M$41,'Raw Data'!$B$2:$B$41,A15)</x:f>
        <x:v>327840</x:v>
      </x:c>
      <x:c r="D15" s="29" t="n">
        <x:f>B15-C15</x:f>
        <x:v>149660</x:v>
      </x:c>
      <x:c r="E15" s="17" t="n">
        <x:f>COUNTIF('Raw Data'!$B$2:$B$41,A15)</x:f>
        <x:v>5</x:v>
      </x:c>
    </x:row>
    <x:row r="16">
      <x:c r="A16" s="15" t="str">
        <x:v>May</x:v>
      </x:c>
      <x:c r="B16" s="29" t="n">
        <x:f>SUMIFS('Raw Data'!$H$2:$H$41,'Raw Data'!$B$2:$B$41,A16)</x:f>
        <x:v>513000</x:v>
      </x:c>
      <x:c r="C16" s="29" t="n">
        <x:f>SUMIFS('Raw Data'!$M$2:$M$41,'Raw Data'!$B$2:$B$41,A16)</x:f>
        <x:v>360528</x:v>
      </x:c>
      <x:c r="D16" s="29" t="n">
        <x:f>B16-C16</x:f>
        <x:v>152472</x:v>
      </x:c>
      <x:c r="E16" s="17" t="n">
        <x:f>COUNTIF('Raw Data'!$B$2:$B$41,A16)</x:f>
        <x:v>5</x:v>
      </x:c>
      <x:c r="G16" s="12" t="str">
        <x:v>Order Category</x:v>
      </x:c>
      <x:c r="H16" s="13" t="str">
        <x:v>Revenue</x:v>
      </x:c>
      <x:c r="I16" s="14" t="str">
        <x:v>Orders</x:v>
      </x:c>
    </x:row>
    <x:row r="17">
      <x:c r="A17" s="15" t="str">
        <x:v>Jun</x:v>
      </x:c>
      <x:c r="B17" s="29" t="n">
        <x:f>SUMIFS('Raw Data'!$H$2:$H$41,'Raw Data'!$B$2:$B$41,A17)</x:f>
        <x:v>459000</x:v>
      </x:c>
      <x:c r="C17" s="29" t="n">
        <x:f>SUMIFS('Raw Data'!$M$2:$M$41,'Raw Data'!$B$2:$B$41,A17)</x:f>
        <x:v>316860</x:v>
      </x:c>
      <x:c r="D17" s="29" t="n">
        <x:f>B17-C17</x:f>
        <x:v>142140</x:v>
      </x:c>
      <x:c r="E17" s="17" t="n">
        <x:f>COUNTIF('Raw Data'!$B$2:$B$41,A17)</x:f>
        <x:v>5</x:v>
      </x:c>
      <x:c r="G17" s="15" t="str">
        <x:v>Standard</x:v>
      </x:c>
      <x:c r="H17" s="29" t="n">
        <x:f>SUMIFS('Raw Data'!$H$2:$H$41,'Raw Data'!$P$2:$P$41,G17)</x:f>
        <x:v>1681500</x:v>
      </x:c>
      <x:c r="I17" s="17" t="n">
        <x:f>COUNTIF('Raw Data'!$P$2:$P$41,G17)</x:f>
        <x:v>18</x:v>
      </x:c>
    </x:row>
    <x:row r="18">
      <x:c r="A18" s="15" t="str">
        <x:v>Jul</x:v>
      </x:c>
      <x:c r="B18" s="29" t="n">
        <x:f>SUMIFS('Raw Data'!$H$2:$H$41,'Raw Data'!$B$2:$B$41,A18)</x:f>
        <x:v>431500</x:v>
      </x:c>
      <x:c r="C18" s="29" t="n">
        <x:f>SUMIFS('Raw Data'!$M$2:$M$41,'Raw Data'!$B$2:$B$41,A18)</x:f>
        <x:v>300822</x:v>
      </x:c>
      <x:c r="D18" s="29" t="n">
        <x:f>B18-C18</x:f>
        <x:v>130678</x:v>
      </x:c>
      <x:c r="E18" s="17" t="n">
        <x:f>COUNTIF('Raw Data'!$B$2:$B$41,A18)</x:f>
        <x:v>5</x:v>
      </x:c>
      <x:c r="G18" s="18" t="str">
        <x:v>Bulk</x:v>
      </x:c>
      <x:c r="H18" s="30" t="n">
        <x:f>SUMIFS('Raw Data'!$H$2:$H$41,'Raw Data'!$P$2:$P$41,G18)</x:f>
        <x:v>1952000</x:v>
      </x:c>
      <x:c r="I18" s="20" t="n">
        <x:f>COUNTIF('Raw Data'!$P$2:$P$41,G18)</x:f>
        <x:v>22</x:v>
      </x:c>
    </x:row>
    <x:row r="19">
      <x:c r="A19" s="18" t="str">
        <x:v>Aug</x:v>
      </x:c>
      <x:c r="B19" s="30" t="n">
        <x:f>SUMIFS('Raw Data'!$H$2:$H$41,'Raw Data'!$B$2:$B$41,A19)</x:f>
        <x:v>520500</x:v>
      </x:c>
      <x:c r="C19" s="30" t="n">
        <x:f>SUMIFS('Raw Data'!$M$2:$M$41,'Raw Data'!$B$2:$B$41,A19)</x:f>
        <x:v>356175</x:v>
      </x:c>
      <x:c r="D19" s="30" t="n">
        <x:f>B19-C19</x:f>
        <x:v>164325</x:v>
      </x:c>
      <x:c r="E19" s="20" t="n">
        <x:f>COUNTIF('Raw Data'!$B$2:$B$41,A19)</x:f>
        <x:v>5</x:v>
      </x:c>
    </x:row>
  </x:sheetData>
  <x:mergeCells>
    <x:mergeCell ref="A1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19" customHeight="1">
      <x:c r="A1" s="59" t="str">
        <x:v>Sales Performance Dashboard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</x:row>
    <x:row r="2" ht="19" customHeight="1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</x:row>
    <x:row r="3" ht="19" customHeight="1">
      <x:c r="A3" s="73" t="str">
        <x:v>TOTAL REVENUE</x:v>
      </x:c>
      <x:c r="B3" s="74"/>
      <x:c r="C3" s="75"/>
      <x:c r="D3" s="73" t="str">
        <x:v>TOTAL COST</x:v>
      </x:c>
      <x:c r="E3" s="74"/>
      <x:c r="F3" s="75"/>
      <x:c r="G3" s="73" t="str">
        <x:v>TOTAL PROFIT</x:v>
      </x:c>
      <x:c r="H3" s="74"/>
      <x:c r="I3" s="75"/>
      <x:c r="J3" s="73" t="str">
        <x:v>TOTAL ORDERS</x:v>
      </x:c>
      <x:c r="K3" s="74"/>
      <x:c r="L3" s="75"/>
    </x:row>
    <x:row r="4" ht="19" customHeight="1">
      <x:c r="A4" s="93" t="str">
        <x:f>"R "&amp;TEXT(Analysis!B5,"#,##0")</x:f>
        <x:v>R 3,633,500</x:v>
      </x:c>
      <x:c r="B4" s="94"/>
      <x:c r="C4" s="95"/>
      <x:c r="D4" s="93" t="str">
        <x:f>"R "&amp;TEXT(Analysis!B6,"#,##0")</x:f>
        <x:v>R 2,518,938</x:v>
      </x:c>
      <x:c r="E4" s="94"/>
      <x:c r="F4" s="95"/>
      <x:c r="G4" s="93" t="str">
        <x:f>"R "&amp;TEXT(Analysis!B7,"#,##0")</x:f>
        <x:v>R 1,114,562</x:v>
      </x:c>
      <x:c r="H4" s="94"/>
      <x:c r="I4" s="95"/>
      <x:c r="J4" s="93" t="str">
        <x:f>TEXT(Analysis!B8,"#,##0")</x:f>
        <x:v>40</x:v>
      </x:c>
      <x:c r="K4" s="94"/>
      <x:c r="L4" s="95"/>
    </x:row>
    <x:row r="5" ht="19" customHeight="1">
      <x:c r="A5" s="96"/>
      <x:c r="B5" s="97"/>
      <x:c r="C5" s="98"/>
      <x:c r="D5" s="96"/>
      <x:c r="E5" s="97"/>
      <x:c r="F5" s="98"/>
      <x:c r="G5" s="96"/>
      <x:c r="H5" s="97"/>
      <x:c r="I5" s="98"/>
      <x:c r="J5" s="96"/>
      <x:c r="K5" s="97"/>
      <x:c r="L5" s="98"/>
    </x:row>
    <x:row r="6" ht="19" customHeight="1"/>
    <x:row r="7" ht="19" customHeight="1"/>
    <x:row r="8" ht="19" customHeight="1"/>
    <x:row r="9" ht="19" customHeight="1"/>
    <x:row r="10" ht="19" customHeight="1"/>
    <x:row r="11" ht="19" customHeight="1"/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</x:sheetData>
  <x:mergeCells>
    <x:mergeCell ref="A1:L2"/>
    <x:mergeCell ref="A3:C3"/>
    <x:mergeCell ref="D3:F3"/>
    <x:mergeCell ref="G3:I3"/>
    <x:mergeCell ref="J3:L3"/>
    <x:mergeCell ref="A4:C5"/>
    <x:mergeCell ref="D4:F5"/>
    <x:mergeCell ref="G4:I5"/>
    <x:mergeCell ref="J4:L5"/>
  </x:mergeCells>
  <x:pageMargins left="0.7" right="0.7" top="0.75" bottom="0.75" header="0.3" footer="0.3"/>
  <x:drawing xmlns:r="http://schemas.openxmlformats.org/officeDocument/2006/relationships" r:id="Rd275a5ba776e4c9f"/>
</x:worksheet>
</file>